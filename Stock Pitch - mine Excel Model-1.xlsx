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5" activeTab="5" autoFilterDateGrouping="1"/>
  </bookViews>
  <sheets>
    <sheet xmlns:r="http://schemas.openxmlformats.org/officeDocument/2006/relationships" name="OP" sheetId="1" state="visible" r:id="rId1"/>
    <sheet xmlns:r="http://schemas.openxmlformats.org/officeDocument/2006/relationships" name="ESG" sheetId="2" state="visible" r:id="rId2"/>
    <sheet xmlns:r="http://schemas.openxmlformats.org/officeDocument/2006/relationships" name="Peers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Industry" sheetId="5" state="visible" r:id="rId5"/>
    <sheet xmlns:r="http://schemas.openxmlformats.org/officeDocument/2006/relationships" name="WACC" sheetId="6" state="visible" r:id="rId6"/>
    <sheet xmlns:r="http://schemas.openxmlformats.org/officeDocument/2006/relationships" name="DCF Model" sheetId="7" state="visible" r:id="rId7"/>
    <sheet xmlns:r="http://schemas.openxmlformats.org/officeDocument/2006/relationships" name="MC Assumptions" sheetId="8" state="visible" r:id="rId8"/>
    <sheet xmlns:r="http://schemas.openxmlformats.org/officeDocument/2006/relationships" name="Results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/>
  <calcPr calcId="191028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0.000"/>
    <numFmt numFmtId="165" formatCode="&quot;$&quot;#,##0"/>
    <numFmt numFmtId="166" formatCode="0.0%"/>
    <numFmt numFmtId="167" formatCode="0&quot;A&quot;"/>
    <numFmt numFmtId="168" formatCode="0&quot;E&quot;"/>
    <numFmt numFmtId="169" formatCode="_([$$-409]* #,##0_);_([$$-409]* \(#,##0\);_([$$-409]* &quot;-&quot;??_);_(@_)"/>
    <numFmt numFmtId="170" formatCode="#,##0;\(#,##0\);&quot;-&quot;"/>
    <numFmt numFmtId="171" formatCode="0.0"/>
    <numFmt numFmtId="172" formatCode="0.0\x"/>
    <numFmt numFmtId="173" formatCode="&quot;€&quot;#,##0.00"/>
    <numFmt numFmtId="174" formatCode="$#,##0.00"/>
    <numFmt numFmtId="175" formatCode="0.0x"/>
    <numFmt numFmtId="176" formatCode="_-* #,##0.00\ &quot;€&quot;_-;\-* #,##0.00\ &quot;€&quot;_-;_-* &quot;-&quot;??\ &quot;€&quot;_-;_-@_-"/>
  </numFmts>
  <fonts count="6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rebuchet MS"/>
      <family val="2"/>
      <color theme="1"/>
      <sz val="11"/>
    </font>
    <font>
      <name val="Trebuchet MS"/>
      <family val="2"/>
      <color theme="0"/>
      <sz val="11"/>
    </font>
    <font>
      <name val="Trebuchet MS"/>
      <family val="2"/>
      <b val="1"/>
      <color theme="0"/>
      <sz val="11"/>
    </font>
    <font>
      <name val="Trebuchet MS"/>
      <family val="2"/>
      <b val="1"/>
      <color theme="4" tint="-0.499984740745262"/>
      <sz val="11"/>
    </font>
    <font>
      <name val="Arial Nova"/>
      <family val="2"/>
      <color theme="1"/>
      <sz val="11"/>
    </font>
    <font>
      <name val="Arial Nova"/>
      <family val="2"/>
      <sz val="11"/>
    </font>
    <font>
      <name val="Arial Nova"/>
      <family val="2"/>
      <color theme="0"/>
      <sz val="11"/>
    </font>
    <font>
      <name val="Trebuchet MS"/>
      <family val="2"/>
      <sz val="11"/>
    </font>
    <font>
      <name val="Trebuchet MS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Arial Nova"/>
      <family val="2"/>
      <b val="1"/>
      <color rgb="FF000000"/>
      <sz val="16"/>
    </font>
    <font>
      <name val="Trebuchet MS"/>
      <family val="2"/>
      <i val="1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color theme="1"/>
      <sz val="11"/>
    </font>
    <font>
      <name val="Arial"/>
      <family val="2"/>
      <sz val="10"/>
    </font>
    <font>
      <name val="Arial"/>
      <family val="2"/>
      <sz val="11"/>
    </font>
    <font>
      <name val="Arial"/>
      <family val="2"/>
      <color rgb="FFFF0000"/>
      <sz val="11"/>
    </font>
    <font>
      <name val="Arial Nova"/>
      <family val="2"/>
      <i val="1"/>
      <color theme="0"/>
      <sz val="11"/>
    </font>
    <font>
      <name val="Arial Nova"/>
      <family val="2"/>
      <b val="1"/>
      <color theme="0"/>
      <sz val="11"/>
    </font>
    <font>
      <name val="Trebuchet MS"/>
      <family val="2"/>
      <color rgb="FF232A31"/>
      <sz val="11"/>
    </font>
    <font>
      <name val="Trebuchet MS"/>
      <family val="2"/>
      <color rgb="FF0070C0"/>
      <sz val="11"/>
    </font>
    <font>
      <name val="Arial Nova"/>
      <family val="2"/>
      <b val="1"/>
      <color theme="0"/>
      <sz val="12"/>
    </font>
    <font>
      <name val="Arial Nova"/>
      <family val="2"/>
      <color theme="0"/>
      <sz val="12"/>
    </font>
    <font>
      <name val="Arial Nova"/>
      <family val="2"/>
      <b val="1"/>
      <color rgb="FF7B1314"/>
      <sz val="12"/>
    </font>
    <font>
      <name val="Arial Nova"/>
      <family val="2"/>
      <b val="1"/>
      <color theme="1"/>
      <sz val="11"/>
    </font>
    <font>
      <name val="Arial Nova"/>
      <family val="2"/>
      <i val="1"/>
      <sz val="10"/>
    </font>
    <font>
      <name val="Arial Nova"/>
      <family val="2"/>
      <sz val="10"/>
    </font>
    <font>
      <name val="Arial Nova"/>
      <family val="2"/>
      <i val="1"/>
      <color theme="2" tint="-0.499984740745262"/>
      <sz val="10"/>
    </font>
    <font>
      <name val="Arial Nova"/>
      <family val="2"/>
      <i val="1"/>
      <color rgb="FF0070C0"/>
      <sz val="10"/>
    </font>
    <font>
      <name val="Arial Nova"/>
      <family val="2"/>
      <b val="1"/>
      <sz val="11"/>
    </font>
    <font>
      <name val="Arial Nova"/>
      <family val="2"/>
      <b val="1"/>
      <color rgb="FF1C3D64"/>
      <sz val="11"/>
    </font>
    <font>
      <name val="Arial Nova"/>
      <family val="2"/>
      <color rgb="FF1C3D64"/>
      <sz val="11"/>
      <u val="single"/>
    </font>
    <font>
      <name val="Arial"/>
      <family val="2"/>
      <b val="1"/>
      <color rgb="FF1C3D64"/>
      <sz val="11"/>
    </font>
    <font>
      <name val="Arial Nova"/>
      <family val="2"/>
      <color rgb="FF000000"/>
      <sz val="11"/>
    </font>
    <font>
      <name val="Arial Nova"/>
      <family val="2"/>
      <color rgb="FF000000"/>
      <sz val="9"/>
    </font>
    <font>
      <name val="Arial Nova"/>
      <family val="2"/>
      <i val="1"/>
      <color rgb="FF000000"/>
      <sz val="9"/>
    </font>
    <font>
      <name val="Arial"/>
      <family val="2"/>
      <color theme="1"/>
      <sz val="11"/>
    </font>
    <font>
      <name val="Arial Nova"/>
      <family val="2"/>
      <color rgb="FF0070C0"/>
      <sz val="11"/>
    </font>
    <font>
      <name val="Arial Nova"/>
      <family val="2"/>
      <color rgb="FF00B050"/>
      <sz val="11"/>
    </font>
    <font>
      <name val="Trebuchet MS"/>
      <family val="2"/>
      <color rgb="FF000000"/>
      <sz val="11"/>
    </font>
    <font>
      <name val="Trebuchet MS"/>
      <family val="2"/>
      <b val="1"/>
      <color rgb="FFFFFFFF"/>
      <sz val="11"/>
    </font>
    <font>
      <name val="Trebuchet MS"/>
      <family val="2"/>
      <b val="1"/>
      <color rgb="FF0000FF"/>
      <sz val="11"/>
    </font>
    <font>
      <name val="Trebuchet MS"/>
      <family val="2"/>
      <b val="1"/>
      <color rgb="FF000000"/>
      <sz val="11"/>
    </font>
    <font>
      <name val="Trebuchet MS"/>
      <family val="2"/>
      <i val="1"/>
      <color rgb="FF808080"/>
      <sz val="10"/>
    </font>
    <font>
      <name val="Trebuchet MS"/>
      <family val="2"/>
      <color rgb="FF0000FF"/>
      <sz val="11"/>
    </font>
    <font>
      <name val="Trebuchet MS"/>
      <family val="2"/>
      <color rgb="FF7030A0"/>
      <sz val="11"/>
    </font>
    <font>
      <name val="Trebuchet MS"/>
      <family val="2"/>
      <color rgb="FF008000"/>
      <sz val="11"/>
    </font>
    <font>
      <name val="Trebuchet MS"/>
      <family val="2"/>
      <b val="1"/>
      <color rgb="FF000000"/>
      <sz val="12"/>
    </font>
    <font>
      <name val="Trebuchet MS"/>
      <family val="2"/>
      <b val="1"/>
      <color rgb="FF000000"/>
      <sz val="14"/>
    </font>
    <font>
      <name val="Trebuchet MS"/>
      <family val="2"/>
      <b val="1"/>
      <i val="1"/>
      <color rgb="FF000000"/>
      <sz val="11"/>
    </font>
    <font>
      <name val="Trebuchet MS"/>
      <family val="2"/>
      <b val="1"/>
      <color theme="1"/>
      <sz val="11"/>
    </font>
    <font>
      <name val="Trebuchet MS"/>
      <family val="2"/>
      <color rgb="FF404040"/>
      <sz val="10"/>
    </font>
    <font>
      <name val="Trebuchet MS"/>
      <family val="2"/>
      <b val="1"/>
      <color rgb="FF404040"/>
      <sz val="10"/>
    </font>
    <font>
      <name val="Trebuchet MS"/>
      <family val="2"/>
      <color rgb="FF0000FF"/>
      <sz val="10"/>
    </font>
    <font>
      <name val="Trebuchet MS"/>
      <family val="2"/>
      <color theme="1"/>
      <sz val="10"/>
    </font>
    <font>
      <name val="Trebuchet MS"/>
      <family val="2"/>
      <b val="1"/>
      <color theme="2"/>
      <sz val="11"/>
    </font>
    <font>
      <name val="Consolas"/>
      <family val="3"/>
      <color rgb="FF242424"/>
      <sz val="11"/>
    </font>
    <font>
      <name val="Consolas"/>
      <family val="3"/>
      <color rgb="FF000000"/>
      <sz val="11"/>
    </font>
    <font>
      <name val="Calibri"/>
      <family val="2"/>
      <color rgb="FF000000"/>
      <sz val="11"/>
      <scheme val="minor"/>
    </font>
    <font>
      <b val="1"/>
      <sz val="14"/>
    </font>
    <font>
      <b val="1"/>
    </font>
    <font>
      <b val="1"/>
      <sz val="12"/>
    </font>
    <font>
      <b val="1"/>
      <sz val="16"/>
    </font>
    <font>
      <b val="1"/>
      <color rgb="00FFFFFF"/>
      <sz val="12"/>
    </font>
  </fonts>
  <fills count="21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9DAE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C3D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1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 tint="-0.0499893185216834"/>
      </bottom>
      <diagonal/>
    </border>
    <border>
      <left/>
      <right/>
      <top style="thin">
        <color theme="0" tint="-0.0499893185216834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0499893185216834"/>
      </top>
      <bottom style="thin">
        <color theme="0" tint="-0.0499893185216834"/>
      </bottom>
      <diagonal/>
    </border>
    <border>
      <left/>
      <right/>
      <top style="thin">
        <color theme="0"/>
      </top>
      <bottom style="thin">
        <color theme="0" tint="-0.049989318521683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6">
    <xf numFmtId="0" fontId="1" fillId="0" borderId="0"/>
    <xf numFmtId="176" fontId="1" fillId="0" borderId="0"/>
    <xf numFmtId="9" fontId="1" fillId="0" borderId="0"/>
    <xf numFmtId="0" fontId="11" fillId="0" borderId="0"/>
    <xf numFmtId="0" fontId="16" fillId="0" borderId="0"/>
    <xf numFmtId="176" fontId="38" fillId="0" borderId="0"/>
  </cellStyleXfs>
  <cellXfs count="334">
    <xf numFmtId="0" fontId="0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2" fillId="0" borderId="1" pivotButton="0" quotePrefix="0" xfId="0"/>
    <xf numFmtId="0" fontId="2" fillId="3" borderId="1" pivotButton="0" quotePrefix="0" xfId="0"/>
    <xf numFmtId="0" fontId="5" fillId="3" borderId="0" pivotButton="0" quotePrefix="0" xfId="0"/>
    <xf numFmtId="0" fontId="3" fillId="0" borderId="0" pivotButton="0" quotePrefix="0" xfId="0"/>
    <xf numFmtId="0" fontId="9" fillId="0" borderId="0" pivotButton="0" quotePrefix="0" xfId="0"/>
    <xf numFmtId="14" fontId="9" fillId="0" borderId="0" pivotButton="0" quotePrefix="0" xfId="0"/>
    <xf numFmtId="14" fontId="9" fillId="0" borderId="0" applyAlignment="1" pivotButton="0" quotePrefix="0" xfId="0">
      <alignment horizontal="center"/>
    </xf>
    <xf numFmtId="0" fontId="10" fillId="3" borderId="0" pivotButton="0" quotePrefix="0" xfId="0"/>
    <xf numFmtId="2" fontId="2" fillId="0" borderId="0" pivotButton="0" quotePrefix="0" xfId="0"/>
    <xf numFmtId="10" fontId="2" fillId="0" borderId="0" pivotButton="0" quotePrefix="0" xfId="2"/>
    <xf numFmtId="0" fontId="6" fillId="4" borderId="4" pivotButton="0" quotePrefix="0" xfId="0"/>
    <xf numFmtId="0" fontId="12" fillId="0" borderId="0" pivotButton="0" quotePrefix="0" xfId="3"/>
    <xf numFmtId="9" fontId="13" fillId="0" borderId="0" pivotButton="0" quotePrefix="0" xfId="2"/>
    <xf numFmtId="3" fontId="2" fillId="0" borderId="0" pivotButton="0" quotePrefix="0" xfId="0"/>
    <xf numFmtId="0" fontId="17" fillId="0" borderId="0" applyAlignment="1" pivotButton="0" quotePrefix="0" xfId="4">
      <alignment horizontal="left" vertical="center" wrapText="1"/>
    </xf>
    <xf numFmtId="0" fontId="15" fillId="0" borderId="0" applyAlignment="1" pivotButton="0" quotePrefix="0" xfId="0">
      <alignment horizontal="left" vertical="top" indent="1"/>
    </xf>
    <xf numFmtId="0" fontId="17" fillId="0" borderId="0" applyAlignment="1" pivotButton="0" quotePrefix="0" xfId="4">
      <alignment horizontal="center" vertical="center"/>
    </xf>
    <xf numFmtId="0" fontId="17" fillId="0" borderId="0" applyAlignment="1" pivotButton="0" quotePrefix="0" xfId="4">
      <alignment horizontal="left" vertical="top" wrapText="1"/>
    </xf>
    <xf numFmtId="0" fontId="14" fillId="2" borderId="5" applyAlignment="1" pivotButton="0" quotePrefix="0" xfId="0">
      <alignment horizontal="center" vertical="center"/>
    </xf>
    <xf numFmtId="0" fontId="6" fillId="9" borderId="0" pivotButton="0" quotePrefix="0" xfId="0"/>
    <xf numFmtId="0" fontId="20" fillId="9" borderId="0" pivotButton="0" quotePrefix="0" xfId="0"/>
    <xf numFmtId="0" fontId="20" fillId="0" borderId="0" pivotButton="0" quotePrefix="0" xfId="0"/>
    <xf numFmtId="0" fontId="4" fillId="10" borderId="0" pivotButton="0" quotePrefix="0" xfId="0"/>
    <xf numFmtId="0" fontId="4" fillId="9" borderId="0" applyAlignment="1" pivotButton="0" quotePrefix="0" xfId="0">
      <alignment horizontal="center"/>
    </xf>
    <xf numFmtId="0" fontId="4" fillId="9" borderId="0" pivotButton="0" quotePrefix="0" xfId="0"/>
    <xf numFmtId="0" fontId="2" fillId="10" borderId="0" pivotButton="0" quotePrefix="0" xfId="0"/>
    <xf numFmtId="0" fontId="2" fillId="10" borderId="0" applyAlignment="1" pivotButton="0" quotePrefix="0" xfId="0">
      <alignment horizontal="center" vertical="center"/>
    </xf>
    <xf numFmtId="2" fontId="2" fillId="10" borderId="0" applyAlignment="1" pivotButton="0" quotePrefix="0" xfId="2">
      <alignment horizontal="center" vertical="center"/>
    </xf>
    <xf numFmtId="2" fontId="2" fillId="10" borderId="0" applyAlignment="1" pivotButton="0" quotePrefix="0" xfId="0">
      <alignment horizontal="center" vertical="center"/>
    </xf>
    <xf numFmtId="164" fontId="2" fillId="10" borderId="0" applyAlignment="1" pivotButton="0" quotePrefix="0" xfId="2">
      <alignment horizontal="center" vertical="center"/>
    </xf>
    <xf numFmtId="3" fontId="21" fillId="1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/>
    </xf>
    <xf numFmtId="3" fontId="9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  <xf numFmtId="3" fontId="22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4" fillId="3" borderId="0" pivotButton="0" quotePrefix="0" xfId="0"/>
    <xf numFmtId="166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23" fillId="9" borderId="0" applyAlignment="1" applyProtection="1" pivotButton="0" quotePrefix="0" xfId="0">
      <alignment horizontal="left"/>
      <protection locked="0" hidden="0"/>
    </xf>
    <xf numFmtId="0" fontId="24" fillId="9" borderId="0" pivotButton="0" quotePrefix="0" xfId="0"/>
    <xf numFmtId="0" fontId="25" fillId="9" borderId="0" applyAlignment="1" applyProtection="1" pivotButton="0" quotePrefix="0" xfId="0">
      <alignment horizontal="center"/>
      <protection locked="0" hidden="0"/>
    </xf>
    <xf numFmtId="167" fontId="25" fillId="9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  <xf numFmtId="0" fontId="23" fillId="9" borderId="0" applyAlignment="1" applyProtection="1" pivotButton="0" quotePrefix="0" xfId="0">
      <alignment horizontal="left" indent="1"/>
      <protection locked="0" hidden="0"/>
    </xf>
    <xf numFmtId="1" fontId="23" fillId="9" borderId="5" applyAlignment="1" pivotButton="0" quotePrefix="0" xfId="0">
      <alignment horizontal="center"/>
    </xf>
    <xf numFmtId="0" fontId="23" fillId="9" borderId="0" applyAlignment="1" applyProtection="1" pivotButton="0" quotePrefix="0" xfId="0">
      <alignment horizontal="center"/>
      <protection locked="0" hidden="0"/>
    </xf>
    <xf numFmtId="0" fontId="23" fillId="0" borderId="0" applyAlignment="1" applyProtection="1" pivotButton="0" quotePrefix="0" xfId="0">
      <alignment horizontal="left" indent="1"/>
      <protection locked="0" hidden="0"/>
    </xf>
    <xf numFmtId="0" fontId="24" fillId="0" borderId="0" pivotButton="0" quotePrefix="0" xfId="0"/>
    <xf numFmtId="0" fontId="23" fillId="0" borderId="0" applyAlignment="1" applyProtection="1" pivotButton="0" quotePrefix="0" xfId="0">
      <alignment horizontal="center"/>
      <protection locked="0" hidden="0"/>
    </xf>
    <xf numFmtId="167" fontId="23" fillId="0" borderId="0" applyAlignment="1" applyProtection="1" pivotButton="0" quotePrefix="0" xfId="0">
      <alignment horizontal="center"/>
      <protection locked="0" hidden="0"/>
    </xf>
    <xf numFmtId="167" fontId="23" fillId="0" borderId="1" applyAlignment="1" applyProtection="1" pivotButton="0" quotePrefix="0" xfId="0">
      <alignment horizontal="center"/>
      <protection locked="0" hidden="0"/>
    </xf>
    <xf numFmtId="0" fontId="23" fillId="0" borderId="0" applyProtection="1" pivotButton="0" quotePrefix="0" xfId="0">
      <protection locked="0" hidden="0"/>
    </xf>
    <xf numFmtId="0" fontId="26" fillId="0" borderId="0" applyAlignment="1" pivotButton="0" quotePrefix="0" xfId="0">
      <alignment horizontal="left" indent="1"/>
    </xf>
    <xf numFmtId="3" fontId="7" fillId="10" borderId="0" pivotButton="0" quotePrefix="0" xfId="0"/>
    <xf numFmtId="3" fontId="7" fillId="10" borderId="1" pivotButton="0" quotePrefix="0" xfId="0"/>
    <xf numFmtId="0" fontId="27" fillId="0" borderId="0" applyAlignment="1" pivotButton="0" quotePrefix="0" xfId="0">
      <alignment horizontal="left" indent="1"/>
    </xf>
    <xf numFmtId="0" fontId="28" fillId="0" borderId="0" pivotButton="0" quotePrefix="0" xfId="0"/>
    <xf numFmtId="9" fontId="29" fillId="0" borderId="0" pivotButton="0" quotePrefix="0" xfId="2"/>
    <xf numFmtId="9" fontId="29" fillId="0" borderId="1" pivotButton="0" quotePrefix="0" xfId="2"/>
    <xf numFmtId="9" fontId="30" fillId="0" borderId="0" pivotButton="0" quotePrefix="0" xfId="2"/>
    <xf numFmtId="0" fontId="29" fillId="0" borderId="0" applyAlignment="1" pivotButton="0" quotePrefix="0" xfId="0">
      <alignment horizontal="left" indent="1"/>
    </xf>
    <xf numFmtId="0" fontId="6" fillId="0" borderId="1" pivotButton="0" quotePrefix="0" xfId="0"/>
    <xf numFmtId="0" fontId="26" fillId="0" borderId="10" pivotButton="0" quotePrefix="0" xfId="0"/>
    <xf numFmtId="3" fontId="31" fillId="10" borderId="10" pivotButton="0" quotePrefix="0" xfId="0"/>
    <xf numFmtId="3" fontId="31" fillId="10" borderId="11" pivotButton="0" quotePrefix="0" xfId="0"/>
    <xf numFmtId="0" fontId="6" fillId="0" borderId="10" pivotButton="0" quotePrefix="0" xfId="0"/>
    <xf numFmtId="0" fontId="29" fillId="0" borderId="0" pivotButton="0" quotePrefix="0" xfId="0"/>
    <xf numFmtId="0" fontId="23" fillId="10" borderId="0" applyAlignment="1" applyProtection="1" pivotButton="0" quotePrefix="0" xfId="0">
      <alignment horizontal="left" indent="1"/>
      <protection locked="0" hidden="0"/>
    </xf>
    <xf numFmtId="0" fontId="6" fillId="10" borderId="0" pivotButton="0" quotePrefix="0" xfId="0"/>
    <xf numFmtId="0" fontId="6" fillId="0" borderId="0" applyProtection="1" pivotButton="0" quotePrefix="0" xfId="0">
      <protection locked="0" hidden="0"/>
    </xf>
    <xf numFmtId="0" fontId="0" fillId="0" borderId="12" pivotButton="0" quotePrefix="0" xfId="0"/>
    <xf numFmtId="0" fontId="6" fillId="0" borderId="12" applyProtection="1" pivotButton="0" quotePrefix="0" xfId="0">
      <protection locked="0" hidden="0"/>
    </xf>
    <xf numFmtId="0" fontId="6" fillId="0" borderId="12" pivotButton="0" quotePrefix="0" xfId="0"/>
    <xf numFmtId="0" fontId="26" fillId="0" borderId="0" applyProtection="1" pivotButton="0" quotePrefix="0" xfId="0">
      <protection locked="0" hidden="0"/>
    </xf>
    <xf numFmtId="0" fontId="6" fillId="0" borderId="0" applyAlignment="1" pivotButton="0" quotePrefix="0" xfId="0">
      <alignment horizontal="center" vertical="top" wrapText="1"/>
    </xf>
    <xf numFmtId="0" fontId="0" fillId="0" borderId="14" pivotButton="0" quotePrefix="0" xfId="0"/>
    <xf numFmtId="0" fontId="6" fillId="0" borderId="14" applyAlignment="1" pivotButton="0" quotePrefix="0" xfId="0">
      <alignment horizontal="center" vertical="top" wrapText="1"/>
    </xf>
    <xf numFmtId="0" fontId="8" fillId="9" borderId="0" pivotButton="0" quotePrefix="0" xfId="0"/>
    <xf numFmtId="0" fontId="8" fillId="0" borderId="0" pivotButton="0" quotePrefix="0" xfId="0"/>
    <xf numFmtId="0" fontId="19" fillId="9" borderId="0" pivotButton="0" quotePrefix="0" xfId="0"/>
    <xf numFmtId="167" fontId="20" fillId="9" borderId="0" pivotButton="0" quotePrefix="0" xfId="0"/>
    <xf numFmtId="168" fontId="20" fillId="9" borderId="0" pivotButton="0" quotePrefix="0" xfId="0"/>
    <xf numFmtId="1" fontId="20" fillId="9" borderId="0" applyAlignment="1" pivotButton="0" quotePrefix="0" xfId="0">
      <alignment horizontal="right"/>
    </xf>
    <xf numFmtId="1" fontId="20" fillId="0" borderId="0" pivotButton="0" quotePrefix="0" xfId="0"/>
    <xf numFmtId="0" fontId="6" fillId="9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3" fillId="0" borderId="0" applyAlignment="1" pivotButton="0" quotePrefix="0" xfId="3">
      <alignment horizontal="left" indent="1"/>
    </xf>
    <xf numFmtId="0" fontId="26" fillId="0" borderId="0" pivotButton="0" quotePrefix="0" xfId="0"/>
    <xf numFmtId="37" fontId="6" fillId="0" borderId="0" pivotButton="0" quotePrefix="0" xfId="2"/>
    <xf numFmtId="166" fontId="32" fillId="0" borderId="0" applyAlignment="1" pivotButton="0" quotePrefix="0" xfId="2">
      <alignment horizontal="right"/>
    </xf>
    <xf numFmtId="0" fontId="33" fillId="0" borderId="0" applyAlignment="1" pivotButton="0" quotePrefix="0" xfId="3">
      <alignment horizontal="left" wrapText="1" indent="1"/>
    </xf>
    <xf numFmtId="166" fontId="26" fillId="0" borderId="0" pivotButton="0" quotePrefix="0" xfId="2"/>
    <xf numFmtId="0" fontId="6" fillId="0" borderId="0" applyAlignment="1" pivotButton="0" quotePrefix="0" xfId="0">
      <alignment horizontal="left" indent="1"/>
    </xf>
    <xf numFmtId="0" fontId="6" fillId="11" borderId="3" pivotButton="0" quotePrefix="0" xfId="0"/>
    <xf numFmtId="0" fontId="8" fillId="9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169" fontId="6" fillId="0" borderId="0" applyAlignment="1" pivotButton="0" quotePrefix="0" xfId="5">
      <alignment horizontal="right"/>
    </xf>
    <xf numFmtId="10" fontId="7" fillId="10" borderId="0" pivotButton="0" quotePrefix="0" xfId="0"/>
    <xf numFmtId="10" fontId="39" fillId="11" borderId="0" pivotButton="0" quotePrefix="0" xfId="0"/>
    <xf numFmtId="10" fontId="6" fillId="0" borderId="0" pivotButton="0" quotePrefix="0" xfId="2"/>
    <xf numFmtId="10" fontId="6" fillId="0" borderId="0" pivotButton="0" quotePrefix="0" xfId="0"/>
    <xf numFmtId="10" fontId="6" fillId="11" borderId="3" pivotButton="0" quotePrefix="0" xfId="2"/>
    <xf numFmtId="2" fontId="6" fillId="0" borderId="0" pivotButton="0" quotePrefix="0" xfId="0"/>
    <xf numFmtId="4" fontId="6" fillId="11" borderId="3" pivotButton="0" quotePrefix="0" xfId="2"/>
    <xf numFmtId="3" fontId="6" fillId="11" borderId="3" pivotButton="0" quotePrefix="0" xfId="0"/>
    <xf numFmtId="10" fontId="40" fillId="10" borderId="0" pivotButton="0" quotePrefix="0" xfId="0"/>
    <xf numFmtId="3" fontId="6" fillId="0" borderId="0" pivotButton="0" quotePrefix="0" xfId="0"/>
    <xf numFmtId="0" fontId="26" fillId="11" borderId="16" applyAlignment="1" pivotButton="0" quotePrefix="0" xfId="0">
      <alignment horizontal="left" indent="1"/>
    </xf>
    <xf numFmtId="0" fontId="6" fillId="11" borderId="14" pivotButton="0" quotePrefix="0" xfId="0"/>
    <xf numFmtId="166" fontId="26" fillId="11" borderId="14" pivotButton="0" quotePrefix="0" xfId="0"/>
    <xf numFmtId="0" fontId="26" fillId="11" borderId="14" pivotButton="0" quotePrefix="0" xfId="0"/>
    <xf numFmtId="10" fontId="26" fillId="11" borderId="15" pivotButton="0" quotePrefix="0" xfId="0"/>
    <xf numFmtId="0" fontId="41" fillId="12" borderId="0" pivotButton="0" quotePrefix="0" xfId="0"/>
    <xf numFmtId="0" fontId="2" fillId="9" borderId="0" pivotButton="0" quotePrefix="0" xfId="0"/>
    <xf numFmtId="1" fontId="43" fillId="15" borderId="0" applyAlignment="1" pivotButton="0" quotePrefix="0" xfId="0">
      <alignment horizontal="center"/>
    </xf>
    <xf numFmtId="1" fontId="44" fillId="15" borderId="0" applyAlignment="1" pivotButton="0" quotePrefix="0" xfId="0">
      <alignment horizontal="center"/>
    </xf>
    <xf numFmtId="1" fontId="44" fillId="15" borderId="18" applyAlignment="1" pivotButton="0" quotePrefix="0" xfId="0">
      <alignment horizontal="center"/>
    </xf>
    <xf numFmtId="0" fontId="41" fillId="12" borderId="18" pivotButton="0" quotePrefix="0" xfId="0"/>
    <xf numFmtId="0" fontId="42" fillId="9" borderId="0" pivotButton="0" quotePrefix="0" xfId="0"/>
    <xf numFmtId="0" fontId="2" fillId="9" borderId="18" pivotButton="0" quotePrefix="0" xfId="0"/>
    <xf numFmtId="0" fontId="44" fillId="12" borderId="0" pivotButton="0" quotePrefix="0" xfId="0"/>
    <xf numFmtId="170" fontId="41" fillId="12" borderId="0" pivotButton="0" quotePrefix="0" xfId="0"/>
    <xf numFmtId="170" fontId="41" fillId="12" borderId="18" pivotButton="0" quotePrefix="0" xfId="0"/>
    <xf numFmtId="0" fontId="45" fillId="12" borderId="0" pivotButton="0" quotePrefix="0" xfId="0"/>
    <xf numFmtId="166" fontId="41" fillId="12" borderId="0" pivotButton="0" quotePrefix="0" xfId="0"/>
    <xf numFmtId="166" fontId="41" fillId="12" borderId="18" pivotButton="0" quotePrefix="0" xfId="0"/>
    <xf numFmtId="166" fontId="46" fillId="16" borderId="0" pivotButton="0" quotePrefix="0" xfId="0"/>
    <xf numFmtId="170" fontId="41" fillId="12" borderId="14" pivotButton="0" quotePrefix="0" xfId="0"/>
    <xf numFmtId="170" fontId="41" fillId="12" borderId="19" pivotButton="0" quotePrefix="0" xfId="0"/>
    <xf numFmtId="170" fontId="47" fillId="12" borderId="0" pivotButton="0" quotePrefix="0" xfId="0"/>
    <xf numFmtId="170" fontId="41" fillId="12" borderId="10" pivotButton="0" quotePrefix="0" xfId="0"/>
    <xf numFmtId="170" fontId="41" fillId="12" borderId="20" pivotButton="0" quotePrefix="0" xfId="0"/>
    <xf numFmtId="171" fontId="41" fillId="12" borderId="0" pivotButton="0" quotePrefix="0" xfId="0"/>
    <xf numFmtId="166" fontId="48" fillId="16" borderId="0" pivotButton="0" quotePrefix="0" xfId="0"/>
    <xf numFmtId="172" fontId="46" fillId="16" borderId="0" pivotButton="0" quotePrefix="0" xfId="0"/>
    <xf numFmtId="170" fontId="44" fillId="12" borderId="0" pivotButton="0" quotePrefix="0" xfId="0"/>
    <xf numFmtId="0" fontId="46" fillId="16" borderId="0" pivotButton="0" quotePrefix="0" xfId="0"/>
    <xf numFmtId="0" fontId="49" fillId="12" borderId="0" pivotButton="0" quotePrefix="0" xfId="0"/>
    <xf numFmtId="170" fontId="44" fillId="12" borderId="14" pivotButton="0" quotePrefix="0" xfId="0"/>
    <xf numFmtId="170" fontId="44" fillId="12" borderId="10" pivotButton="0" quotePrefix="0" xfId="0"/>
    <xf numFmtId="3" fontId="41" fillId="12" borderId="0" pivotButton="0" quotePrefix="0" xfId="0"/>
    <xf numFmtId="173" fontId="50" fillId="12" borderId="17" pivotButton="0" quotePrefix="0" xfId="0"/>
    <xf numFmtId="173" fontId="48" fillId="12" borderId="0" pivotButton="0" quotePrefix="0" xfId="0"/>
    <xf numFmtId="0" fontId="51" fillId="12" borderId="0" pivotButton="0" quotePrefix="0" xfId="0"/>
    <xf numFmtId="173" fontId="44" fillId="15" borderId="23" pivotButton="0" quotePrefix="0" xfId="0"/>
    <xf numFmtId="166" fontId="44" fillId="15" borderId="21" applyAlignment="1" pivotButton="0" quotePrefix="0" xfId="0">
      <alignment horizontal="center"/>
    </xf>
    <xf numFmtId="166" fontId="44" fillId="17" borderId="22" applyAlignment="1" pivotButton="0" quotePrefix="0" xfId="0">
      <alignment horizontal="center"/>
    </xf>
    <xf numFmtId="173" fontId="41" fillId="17" borderId="0" applyAlignment="1" pivotButton="0" quotePrefix="0" xfId="0">
      <alignment horizontal="center"/>
    </xf>
    <xf numFmtId="166" fontId="44" fillId="15" borderId="22" applyAlignment="1" pivotButton="0" quotePrefix="0" xfId="0">
      <alignment horizontal="center"/>
    </xf>
    <xf numFmtId="173" fontId="41" fillId="12" borderId="0" applyAlignment="1" pivotButton="0" quotePrefix="0" xfId="0">
      <alignment horizontal="center"/>
    </xf>
    <xf numFmtId="173" fontId="44" fillId="6" borderId="0" applyAlignment="1" pivotButton="0" quotePrefix="0" xfId="0">
      <alignment horizontal="center"/>
    </xf>
    <xf numFmtId="0" fontId="52" fillId="0" borderId="0" pivotButton="0" quotePrefix="0" xfId="0"/>
    <xf numFmtId="173" fontId="52" fillId="15" borderId="23" pivotButton="0" quotePrefix="0" xfId="0"/>
    <xf numFmtId="172" fontId="52" fillId="15" borderId="21" applyAlignment="1" pivotButton="0" quotePrefix="0" xfId="0">
      <alignment horizontal="center"/>
    </xf>
    <xf numFmtId="166" fontId="52" fillId="17" borderId="22" applyAlignment="1" pivotButton="0" quotePrefix="0" xfId="0">
      <alignment horizontal="center"/>
    </xf>
    <xf numFmtId="173" fontId="2" fillId="17" borderId="0" applyAlignment="1" pivotButton="0" quotePrefix="0" xfId="0">
      <alignment horizontal="center"/>
    </xf>
    <xf numFmtId="166" fontId="52" fillId="15" borderId="22" applyAlignment="1" pivotButton="0" quotePrefix="0" xfId="0">
      <alignment horizontal="center"/>
    </xf>
    <xf numFmtId="173" fontId="2" fillId="0" borderId="0" applyAlignment="1" pivotButton="0" quotePrefix="0" xfId="0">
      <alignment horizontal="center"/>
    </xf>
    <xf numFmtId="173" fontId="52" fillId="6" borderId="0" applyAlignment="1" pivotButton="0" quotePrefix="0" xfId="0">
      <alignment horizontal="center"/>
    </xf>
    <xf numFmtId="0" fontId="4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48" fillId="0" borderId="0" pivotButton="0" quotePrefix="0" xfId="0"/>
    <xf numFmtId="0" fontId="47" fillId="0" borderId="0" pivotButton="0" quotePrefix="0" xfId="0"/>
    <xf numFmtId="0" fontId="56" fillId="0" borderId="0" pivotButton="0" quotePrefix="0" xfId="0"/>
    <xf numFmtId="0" fontId="57" fillId="9" borderId="0" pivotButton="0" quotePrefix="0" xfId="0"/>
    <xf numFmtId="170" fontId="41" fillId="12" borderId="1" pivotButton="0" quotePrefix="0" xfId="0"/>
    <xf numFmtId="170" fontId="41" fillId="12" borderId="2" pivotButton="0" quotePrefix="0" xfId="0"/>
    <xf numFmtId="0" fontId="41" fillId="18" borderId="0" pivotButton="0" quotePrefix="0" xfId="0"/>
    <xf numFmtId="0" fontId="58" fillId="0" borderId="0" pivotButton="0" quotePrefix="0" xfId="0"/>
    <xf numFmtId="0" fontId="59" fillId="0" borderId="0" pivotButton="0" quotePrefix="0" xfId="0"/>
    <xf numFmtId="10" fontId="0" fillId="0" borderId="0" pivotButton="0" quotePrefix="0" xfId="2"/>
    <xf numFmtId="10" fontId="0" fillId="0" borderId="0" pivotButton="0" quotePrefix="0" xfId="0"/>
    <xf numFmtId="0" fontId="6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 wrapText="1"/>
    </xf>
    <xf numFmtId="0" fontId="15" fillId="0" borderId="6" applyAlignment="1" pivotButton="0" quotePrefix="0" xfId="0">
      <alignment horizontal="left" vertical="center" wrapText="1" indent="1"/>
    </xf>
    <xf numFmtId="0" fontId="15" fillId="0" borderId="7" applyAlignment="1" pivotButton="0" quotePrefix="0" xfId="0">
      <alignment horizontal="left" vertical="center" wrapText="1" indent="1"/>
    </xf>
    <xf numFmtId="0" fontId="17" fillId="5" borderId="6" applyAlignment="1" pivotButton="0" quotePrefix="0" xfId="4">
      <alignment horizontal="center" vertical="center"/>
    </xf>
    <xf numFmtId="0" fontId="17" fillId="5" borderId="7" applyAlignment="1" pivotButton="0" quotePrefix="0" xfId="4">
      <alignment horizontal="center" vertical="center"/>
    </xf>
    <xf numFmtId="0" fontId="17" fillId="0" borderId="6" applyAlignment="1" pivotButton="0" quotePrefix="0" xfId="4">
      <alignment horizontal="left" vertical="center" wrapText="1"/>
    </xf>
    <xf numFmtId="0" fontId="17" fillId="0" borderId="7" applyAlignment="1" pivotButton="0" quotePrefix="0" xfId="4">
      <alignment horizontal="left" vertical="center" wrapText="1"/>
    </xf>
    <xf numFmtId="0" fontId="15" fillId="0" borderId="8" applyAlignment="1" pivotButton="0" quotePrefix="0" xfId="0">
      <alignment horizontal="left" vertical="center" wrapText="1" indent="1"/>
    </xf>
    <xf numFmtId="0" fontId="17" fillId="6" borderId="8" applyAlignment="1" pivotButton="0" quotePrefix="0" xfId="4">
      <alignment horizontal="center" vertical="center"/>
    </xf>
    <xf numFmtId="0" fontId="17" fillId="6" borderId="7" applyAlignment="1" pivotButton="0" quotePrefix="0" xfId="4">
      <alignment horizontal="center" vertical="center"/>
    </xf>
    <xf numFmtId="0" fontId="17" fillId="0" borderId="8" applyAlignment="1" pivotButton="0" quotePrefix="0" xfId="4">
      <alignment horizontal="left" vertical="center" wrapText="1"/>
    </xf>
    <xf numFmtId="0" fontId="17" fillId="7" borderId="8" applyAlignment="1" pivotButton="0" quotePrefix="0" xfId="4">
      <alignment horizontal="center" vertical="center"/>
    </xf>
    <xf numFmtId="0" fontId="17" fillId="7" borderId="7" applyAlignment="1" pivotButton="0" quotePrefix="0" xfId="4">
      <alignment horizontal="center" vertical="center"/>
    </xf>
    <xf numFmtId="0" fontId="17" fillId="8" borderId="8" applyAlignment="1" pivotButton="0" quotePrefix="0" xfId="4">
      <alignment horizontal="center" vertical="center"/>
    </xf>
    <xf numFmtId="0" fontId="17" fillId="8" borderId="7" applyAlignment="1" pivotButton="0" quotePrefix="0" xfId="4">
      <alignment horizontal="center" vertical="center"/>
    </xf>
    <xf numFmtId="0" fontId="15" fillId="0" borderId="0" applyAlignment="1" pivotButton="0" quotePrefix="0" xfId="0">
      <alignment horizontal="left" vertical="center" wrapText="1" indent="1"/>
    </xf>
    <xf numFmtId="0" fontId="17" fillId="6" borderId="0" applyAlignment="1" pivotButton="0" quotePrefix="0" xfId="4">
      <alignment horizontal="center" vertical="center"/>
    </xf>
    <xf numFmtId="0" fontId="17" fillId="0" borderId="0" applyAlignment="1" pivotButton="0" quotePrefix="0" xfId="4">
      <alignment horizontal="left" vertical="center" wrapText="1"/>
    </xf>
    <xf numFmtId="0" fontId="17" fillId="7" borderId="6" applyAlignment="1" pivotButton="0" quotePrefix="0" xfId="4">
      <alignment horizontal="center" vertical="center"/>
    </xf>
    <xf numFmtId="0" fontId="17" fillId="5" borderId="8" applyAlignment="1" pivotButton="0" quotePrefix="0" xfId="4">
      <alignment horizontal="center" vertical="center"/>
    </xf>
    <xf numFmtId="0" fontId="17" fillId="7" borderId="0" applyAlignment="1" pivotButton="0" quotePrefix="0" xfId="4">
      <alignment horizontal="center" vertical="center"/>
    </xf>
    <xf numFmtId="0" fontId="17" fillId="5" borderId="6" applyAlignment="1" pivotButton="0" quotePrefix="0" xfId="4">
      <alignment horizontal="left" vertical="center"/>
    </xf>
    <xf numFmtId="0" fontId="17" fillId="5" borderId="7" applyAlignment="1" pivotButton="0" quotePrefix="0" xfId="4">
      <alignment horizontal="left" vertical="center"/>
    </xf>
    <xf numFmtId="0" fontId="17" fillId="6" borderId="8" applyAlignment="1" pivotButton="0" quotePrefix="0" xfId="4">
      <alignment horizontal="left" vertical="center"/>
    </xf>
    <xf numFmtId="0" fontId="17" fillId="6" borderId="7" applyAlignment="1" pivotButton="0" quotePrefix="0" xfId="4">
      <alignment horizontal="left" vertical="center"/>
    </xf>
    <xf numFmtId="0" fontId="17" fillId="8" borderId="8" applyAlignment="1" pivotButton="0" quotePrefix="0" xfId="4">
      <alignment horizontal="left" vertical="center"/>
    </xf>
    <xf numFmtId="0" fontId="17" fillId="8" borderId="7" applyAlignment="1" pivotButton="0" quotePrefix="0" xfId="4">
      <alignment horizontal="left" vertical="center"/>
    </xf>
    <xf numFmtId="0" fontId="18" fillId="5" borderId="8" applyAlignment="1" pivotButton="0" quotePrefix="0" xfId="4">
      <alignment horizontal="left" vertical="center"/>
    </xf>
    <xf numFmtId="0" fontId="18" fillId="5" borderId="7" applyAlignment="1" pivotButton="0" quotePrefix="0" xfId="4">
      <alignment horizontal="left" vertical="center"/>
    </xf>
    <xf numFmtId="0" fontId="17" fillId="5" borderId="8" applyAlignment="1" pivotButton="0" quotePrefix="0" xfId="4">
      <alignment horizontal="left" vertical="center"/>
    </xf>
    <xf numFmtId="0" fontId="17" fillId="6" borderId="0" applyAlignment="1" pivotButton="0" quotePrefix="0" xfId="4">
      <alignment horizontal="left" vertical="center"/>
    </xf>
    <xf numFmtId="0" fontId="17" fillId="5" borderId="0" applyAlignment="1" pivotButton="0" quotePrefix="0" xfId="4">
      <alignment horizontal="left" vertical="center"/>
    </xf>
    <xf numFmtId="0" fontId="6" fillId="0" borderId="12" applyAlignment="1" applyProtection="1" pivotButton="0" quotePrefix="0" xfId="0">
      <alignment horizontal="right" vertical="center" wrapText="1" indent="1"/>
      <protection locked="0" hidden="0"/>
    </xf>
    <xf numFmtId="0" fontId="6" fillId="0" borderId="13" applyAlignment="1" applyProtection="1" pivotButton="0" quotePrefix="0" xfId="0">
      <alignment horizontal="right" vertical="center" indent="1"/>
      <protection locked="0" hidden="0"/>
    </xf>
    <xf numFmtId="0" fontId="6" fillId="0" borderId="12" applyAlignment="1" applyProtection="1" pivotButton="0" quotePrefix="0" xfId="0">
      <alignment horizontal="left" vertical="center" wrapText="1"/>
      <protection locked="0" hidden="0"/>
    </xf>
    <xf numFmtId="0" fontId="6" fillId="0" borderId="14" applyAlignment="1" applyProtection="1" pivotButton="0" quotePrefix="0" xfId="0">
      <alignment horizontal="right" vertical="center" wrapText="1" indent="1"/>
      <protection locked="0" hidden="0"/>
    </xf>
    <xf numFmtId="0" fontId="6" fillId="0" borderId="15" applyAlignment="1" applyProtection="1" pivotButton="0" quotePrefix="0" xfId="0">
      <alignment horizontal="right" vertical="center" indent="1"/>
      <protection locked="0" hidden="0"/>
    </xf>
    <xf numFmtId="0" fontId="26" fillId="0" borderId="14" applyAlignment="1" pivotButton="0" quotePrefix="0" xfId="0">
      <alignment vertical="center" wrapText="1"/>
    </xf>
    <xf numFmtId="0" fontId="6" fillId="0" borderId="14" applyAlignment="1" pivotButton="0" quotePrefix="0" xfId="0">
      <alignment vertical="center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1" applyAlignment="1" applyProtection="1" pivotButton="0" quotePrefix="0" xfId="0">
      <alignment horizontal="right" vertical="center" indent="1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2" fillId="13" borderId="0" applyAlignment="1" pivotButton="0" quotePrefix="0" xfId="0">
      <alignment horizontal="center"/>
    </xf>
    <xf numFmtId="0" fontId="42" fillId="14" borderId="0" applyAlignment="1" pivotButton="0" quotePrefix="0" xfId="0">
      <alignment horizontal="center"/>
    </xf>
    <xf numFmtId="0" fontId="2" fillId="13" borderId="0" pivotButton="0" quotePrefix="0" xfId="0"/>
    <xf numFmtId="0" fontId="2" fillId="14" borderId="0" pivotButton="0" quotePrefix="0" xfId="0"/>
    <xf numFmtId="0" fontId="42" fillId="9" borderId="0" pivotButton="0" quotePrefix="0" xfId="0"/>
    <xf numFmtId="0" fontId="2" fillId="9" borderId="0" pivotButton="0" quotePrefix="0" xfId="0"/>
    <xf numFmtId="0" fontId="2" fillId="9" borderId="18" pivotButton="0" quotePrefix="0" xfId="0"/>
    <xf numFmtId="0" fontId="0" fillId="0" borderId="1" pivotButton="0" quotePrefix="0" xfId="0"/>
    <xf numFmtId="0" fontId="0" fillId="0" borderId="2" pivotButton="0" quotePrefix="0" xfId="0"/>
    <xf numFmtId="0" fontId="15" fillId="0" borderId="25" applyAlignment="1" pivotButton="0" quotePrefix="0" xfId="0">
      <alignment horizontal="left" vertical="center" wrapText="1" indent="1"/>
    </xf>
    <xf numFmtId="0" fontId="17" fillId="5" borderId="25" applyAlignment="1" pivotButton="0" quotePrefix="0" xfId="4">
      <alignment horizontal="center" vertical="center"/>
    </xf>
    <xf numFmtId="0" fontId="17" fillId="0" borderId="25" applyAlignment="1" pivotButton="0" quotePrefix="0" xfId="4">
      <alignment horizontal="left" vertical="center" wrapText="1"/>
    </xf>
    <xf numFmtId="0" fontId="0" fillId="0" borderId="7" pivotButton="0" quotePrefix="0" xfId="0"/>
    <xf numFmtId="0" fontId="15" fillId="0" borderId="24" applyAlignment="1" pivotButton="0" quotePrefix="0" xfId="0">
      <alignment horizontal="left" vertical="center" wrapText="1" indent="1"/>
    </xf>
    <xf numFmtId="0" fontId="17" fillId="6" borderId="24" applyAlignment="1" pivotButton="0" quotePrefix="0" xfId="4">
      <alignment horizontal="center" vertical="center"/>
    </xf>
    <xf numFmtId="0" fontId="17" fillId="0" borderId="24" applyAlignment="1" pivotButton="0" quotePrefix="0" xfId="4">
      <alignment horizontal="left" vertical="center" wrapText="1"/>
    </xf>
    <xf numFmtId="0" fontId="17" fillId="7" borderId="24" applyAlignment="1" pivotButton="0" quotePrefix="0" xfId="4">
      <alignment horizontal="center" vertical="center"/>
    </xf>
    <xf numFmtId="0" fontId="17" fillId="8" borderId="24" applyAlignment="1" pivotButton="0" quotePrefix="0" xfId="4">
      <alignment horizontal="center" vertical="center"/>
    </xf>
    <xf numFmtId="0" fontId="17" fillId="7" borderId="25" applyAlignment="1" pivotButton="0" quotePrefix="0" xfId="4">
      <alignment horizontal="center" vertical="center"/>
    </xf>
    <xf numFmtId="0" fontId="17" fillId="5" borderId="24" applyAlignment="1" pivotButton="0" quotePrefix="0" xfId="4">
      <alignment horizontal="center" vertical="center"/>
    </xf>
    <xf numFmtId="0" fontId="17" fillId="5" borderId="25" applyAlignment="1" pivotButton="0" quotePrefix="0" xfId="4">
      <alignment horizontal="left" vertical="center"/>
    </xf>
    <xf numFmtId="0" fontId="17" fillId="6" borderId="24" applyAlignment="1" pivotButton="0" quotePrefix="0" xfId="4">
      <alignment horizontal="left" vertical="center"/>
    </xf>
    <xf numFmtId="0" fontId="17" fillId="8" borderId="24" applyAlignment="1" pivotButton="0" quotePrefix="0" xfId="4">
      <alignment horizontal="left" vertical="center"/>
    </xf>
    <xf numFmtId="0" fontId="18" fillId="5" borderId="24" applyAlignment="1" pivotButton="0" quotePrefix="0" xfId="4">
      <alignment horizontal="left" vertical="center"/>
    </xf>
    <xf numFmtId="0" fontId="17" fillId="5" borderId="24" applyAlignment="1" pivotButton="0" quotePrefix="0" xfId="4">
      <alignment horizontal="left" vertical="center"/>
    </xf>
    <xf numFmtId="164" fontId="2" fillId="10" borderId="0" applyAlignment="1" pivotButton="0" quotePrefix="0" xfId="2">
      <alignment horizontal="center" vertical="center"/>
    </xf>
    <xf numFmtId="165" fontId="2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center" vertical="center"/>
    </xf>
    <xf numFmtId="167" fontId="25" fillId="9" borderId="0" applyAlignment="1" applyProtection="1" pivotButton="0" quotePrefix="0" xfId="0">
      <alignment horizontal="center"/>
      <protection locked="0" hidden="0"/>
    </xf>
    <xf numFmtId="167" fontId="23" fillId="0" borderId="0" applyAlignment="1" applyProtection="1" pivotButton="0" quotePrefix="0" xfId="0">
      <alignment horizontal="center"/>
      <protection locked="0" hidden="0"/>
    </xf>
    <xf numFmtId="167" fontId="23" fillId="0" borderId="1" applyAlignment="1" applyProtection="1" pivotButton="0" quotePrefix="0" xfId="0">
      <alignment horizontal="center"/>
      <protection locked="0" hidden="0"/>
    </xf>
    <xf numFmtId="0" fontId="6" fillId="0" borderId="13" applyAlignment="1" applyProtection="1" pivotButton="0" quotePrefix="0" xfId="0">
      <alignment horizontal="right" vertical="center" wrapText="1" inden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6" fillId="0" borderId="15" applyAlignment="1" applyProtection="1" pivotButton="0" quotePrefix="0" xfId="0">
      <alignment horizontal="righ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7" fontId="20" fillId="9" borderId="0" pivotButton="0" quotePrefix="0" xfId="0"/>
    <xf numFmtId="168" fontId="20" fillId="9" borderId="0" pivotButton="0" quotePrefix="0" xfId="0"/>
    <xf numFmtId="169" fontId="6" fillId="0" borderId="0" applyAlignment="1" pivotButton="0" quotePrefix="0" xfId="5">
      <alignment horizontal="right"/>
    </xf>
    <xf numFmtId="170" fontId="41" fillId="12" borderId="0" pivotButton="0" quotePrefix="0" xfId="0"/>
    <xf numFmtId="170" fontId="41" fillId="12" borderId="18" pivotButton="0" quotePrefix="0" xfId="0"/>
    <xf numFmtId="170" fontId="41" fillId="12" borderId="1" pivotButton="0" quotePrefix="0" xfId="0"/>
    <xf numFmtId="170" fontId="41" fillId="12" borderId="2" pivotButton="0" quotePrefix="0" xfId="0"/>
    <xf numFmtId="170" fontId="47" fillId="12" borderId="0" pivotButton="0" quotePrefix="0" xfId="0"/>
    <xf numFmtId="170" fontId="41" fillId="12" borderId="14" pivotButton="0" quotePrefix="0" xfId="0"/>
    <xf numFmtId="170" fontId="41" fillId="12" borderId="19" pivotButton="0" quotePrefix="0" xfId="0"/>
    <xf numFmtId="170" fontId="41" fillId="12" borderId="10" pivotButton="0" quotePrefix="0" xfId="0"/>
    <xf numFmtId="170" fontId="41" fillId="12" borderId="20" pivotButton="0" quotePrefix="0" xfId="0"/>
    <xf numFmtId="171" fontId="41" fillId="12" borderId="0" pivotButton="0" quotePrefix="0" xfId="0"/>
    <xf numFmtId="172" fontId="46" fillId="16" borderId="0" pivotButton="0" quotePrefix="0" xfId="0"/>
    <xf numFmtId="170" fontId="44" fillId="12" borderId="0" pivotButton="0" quotePrefix="0" xfId="0"/>
    <xf numFmtId="170" fontId="44" fillId="12" borderId="14" pivotButton="0" quotePrefix="0" xfId="0"/>
    <xf numFmtId="170" fontId="44" fillId="12" borderId="10" pivotButton="0" quotePrefix="0" xfId="0"/>
    <xf numFmtId="173" fontId="50" fillId="12" borderId="17" pivotButton="0" quotePrefix="0" xfId="0"/>
    <xf numFmtId="173" fontId="48" fillId="12" borderId="0" pivotButton="0" quotePrefix="0" xfId="0"/>
    <xf numFmtId="173" fontId="44" fillId="15" borderId="23" pivotButton="0" quotePrefix="0" xfId="0"/>
    <xf numFmtId="173" fontId="41" fillId="17" borderId="0" applyAlignment="1" pivotButton="0" quotePrefix="0" xfId="0">
      <alignment horizontal="center"/>
    </xf>
    <xf numFmtId="173" fontId="41" fillId="12" borderId="0" applyAlignment="1" pivotButton="0" quotePrefix="0" xfId="0">
      <alignment horizontal="center"/>
    </xf>
    <xf numFmtId="173" fontId="44" fillId="6" borderId="0" applyAlignment="1" pivotButton="0" quotePrefix="0" xfId="0">
      <alignment horizontal="center"/>
    </xf>
    <xf numFmtId="173" fontId="52" fillId="15" borderId="23" pivotButton="0" quotePrefix="0" xfId="0"/>
    <xf numFmtId="172" fontId="52" fillId="15" borderId="21" applyAlignment="1" pivotButton="0" quotePrefix="0" xfId="0">
      <alignment horizontal="center"/>
    </xf>
    <xf numFmtId="173" fontId="2" fillId="17" borderId="0" applyAlignment="1" pivotButton="0" quotePrefix="0" xfId="0">
      <alignment horizontal="center"/>
    </xf>
    <xf numFmtId="173" fontId="2" fillId="0" borderId="0" applyAlignment="1" pivotButton="0" quotePrefix="0" xfId="0">
      <alignment horizontal="center"/>
    </xf>
    <xf numFmtId="173" fontId="52" fillId="6" borderId="0" applyAlignment="1" pivotButton="0" quotePrefix="0" xfId="0">
      <alignment horizontal="center"/>
    </xf>
    <xf numFmtId="0" fontId="61" fillId="0" borderId="0" pivotButton="0" quotePrefix="0" xfId="0"/>
    <xf numFmtId="0" fontId="62" fillId="0" borderId="0" pivotButton="0" quotePrefix="0" xfId="0"/>
    <xf numFmtId="4" fontId="0" fillId="0" borderId="0" pivotButton="0" quotePrefix="0" xfId="0"/>
    <xf numFmtId="0" fontId="63" fillId="0" borderId="0" pivotButton="0" quotePrefix="0" xfId="0"/>
    <xf numFmtId="174" fontId="0" fillId="0" borderId="0" pivotButton="0" quotePrefix="0" xfId="0"/>
    <xf numFmtId="166" fontId="13" fillId="0" borderId="0" pivotButton="0" quotePrefix="0" xfId="2"/>
    <xf numFmtId="175" fontId="46" fillId="16" borderId="0" pivotButton="0" quotePrefix="0" xfId="0"/>
    <xf numFmtId="174" fontId="50" fillId="12" borderId="17" pivotButton="0" quotePrefix="0" xfId="0"/>
    <xf numFmtId="174" fontId="48" fillId="12" borderId="0" pivotButton="0" quotePrefix="0" xfId="0"/>
    <xf numFmtId="174" fontId="41" fillId="17" borderId="0" applyAlignment="1" pivotButton="0" quotePrefix="0" xfId="0">
      <alignment horizontal="center"/>
    </xf>
    <xf numFmtId="174" fontId="41" fillId="12" borderId="0" applyAlignment="1" pivotButton="0" quotePrefix="0" xfId="0">
      <alignment horizontal="center"/>
    </xf>
    <xf numFmtId="174" fontId="44" fillId="6" borderId="0" applyAlignment="1" pivotButton="0" quotePrefix="0" xfId="0">
      <alignment horizontal="center"/>
    </xf>
    <xf numFmtId="175" fontId="52" fillId="15" borderId="21" applyAlignment="1" pivotButton="0" quotePrefix="0" xfId="0">
      <alignment horizontal="center"/>
    </xf>
    <xf numFmtId="174" fontId="2" fillId="17" borderId="0" applyAlignment="1" pivotButton="0" quotePrefix="0" xfId="0">
      <alignment horizontal="center"/>
    </xf>
    <xf numFmtId="174" fontId="2" fillId="0" borderId="0" applyAlignment="1" pivotButton="0" quotePrefix="0" xfId="0">
      <alignment horizontal="center"/>
    </xf>
    <xf numFmtId="174" fontId="52" fillId="6" borderId="0" applyAlignment="1" pivotButton="0" quotePrefix="0" xfId="0">
      <alignment horizontal="center"/>
    </xf>
    <xf numFmtId="174" fontId="0" fillId="0" borderId="0" pivotButton="0" quotePrefix="0" xfId="0"/>
    <xf numFmtId="175" fontId="46" fillId="16" borderId="0" pivotButton="0" quotePrefix="0" xfId="0"/>
    <xf numFmtId="174" fontId="50" fillId="12" borderId="17" pivotButton="0" quotePrefix="0" xfId="0"/>
    <xf numFmtId="174" fontId="48" fillId="12" borderId="0" pivotButton="0" quotePrefix="0" xfId="0"/>
    <xf numFmtId="174" fontId="41" fillId="17" borderId="0" applyAlignment="1" pivotButton="0" quotePrefix="0" xfId="0">
      <alignment horizontal="center"/>
    </xf>
    <xf numFmtId="174" fontId="41" fillId="12" borderId="0" applyAlignment="1" pivotButton="0" quotePrefix="0" xfId="0">
      <alignment horizontal="center"/>
    </xf>
    <xf numFmtId="174" fontId="44" fillId="6" borderId="0" applyAlignment="1" pivotButton="0" quotePrefix="0" xfId="0">
      <alignment horizontal="center"/>
    </xf>
    <xf numFmtId="175" fontId="52" fillId="15" borderId="21" applyAlignment="1" pivotButton="0" quotePrefix="0" xfId="0">
      <alignment horizontal="center"/>
    </xf>
    <xf numFmtId="174" fontId="2" fillId="17" borderId="0" applyAlignment="1" pivotButton="0" quotePrefix="0" xfId="0">
      <alignment horizontal="center"/>
    </xf>
    <xf numFmtId="174" fontId="2" fillId="0" borderId="0" applyAlignment="1" pivotButton="0" quotePrefix="0" xfId="0">
      <alignment horizontal="center"/>
    </xf>
    <xf numFmtId="174" fontId="52" fillId="6" borderId="0" applyAlignment="1" pivotButton="0" quotePrefix="0" xfId="0">
      <alignment horizontal="center"/>
    </xf>
    <xf numFmtId="0" fontId="64" fillId="0" borderId="0" pivotButton="0" quotePrefix="0" xfId="0"/>
    <xf numFmtId="0" fontId="65" fillId="19" borderId="0" pivotButton="0" quotePrefix="0" xfId="0"/>
    <xf numFmtId="0" fontId="62" fillId="20" borderId="28" pivotButton="0" quotePrefix="0" xfId="0"/>
    <xf numFmtId="0" fontId="0" fillId="0" borderId="28" pivotButton="0" quotePrefix="0" xfId="0"/>
    <xf numFmtId="174" fontId="0" fillId="0" borderId="28" pivotButton="0" quotePrefix="0" xfId="0"/>
    <xf numFmtId="164" fontId="0" fillId="0" borderId="28" pivotButton="0" quotePrefix="0" xfId="0"/>
    <xf numFmtId="3" fontId="0" fillId="0" borderId="28" pivotButton="0" quotePrefix="0" xfId="0"/>
    <xf numFmtId="0" fontId="65" fillId="19" borderId="28" pivotButton="0" quotePrefix="0" xfId="0"/>
  </cellXfs>
  <cellStyles count="6">
    <cellStyle name="Normal" xfId="0" builtinId="0"/>
    <cellStyle name="Currency" xfId="1" builtinId="4"/>
    <cellStyle name="Percent" xfId="2" builtinId="5"/>
    <cellStyle name="Hyperlink" xfId="3" builtinId="8"/>
    <cellStyle name="Normal 2 2" xfId="4"/>
    <cellStyle name="Currency 2" xfId="5"/>
  </cellStyles>
  <dxfs count="5">
    <dxf>
      <font>
        <color rgb="FFC00000"/>
      </font>
    </dxf>
    <dxf>
      <font>
        <color rgb="FFFF0000"/>
      </font>
    </dxf>
    <dxf>
      <font>
        <color rgb="FF00B050"/>
      </font>
    </dxf>
    <dxf>
      <font>
        <color rgb="FF92D050"/>
      </font>
      <fill>
        <patternFill>
          <bgColor auto="1"/>
        </patternFill>
      </fill>
    </dxf>
    <dxf>
      <font>
        <color rgb="FFFFC000"/>
      </font>
      <fill>
        <patternFill>
          <bgColor auto="1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535870516185477"/>
          <y val="0.1670833333333334"/>
          <w val="0.8901968503937008"/>
          <h val="0.5706791338582677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OP!$Y$4</f>
              <numCache>
                <formatCode>m/d/yyyy</formatCode>
                <ptCount val="1"/>
                <pt idx="0">
                  <v>45369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66373087"/>
        <axId val="566377887"/>
      </lineChart>
      <catAx>
        <axId val="566373087"/>
        <scaling>
          <orientation val="minMax"/>
          <min val="45367"/>
        </scaling>
        <delete val="0"/>
        <axPos val="b"/>
        <numFmt formatCode="mm/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t>None</a:t>
            </a:r>
            <a:endParaRPr lang="pt-PT"/>
          </a:p>
        </txPr>
        <crossAx val="566377887"/>
        <crosses val="autoZero"/>
        <auto val="1"/>
        <lblAlgn val="ctr"/>
        <lblOffset val="100"/>
        <tickLblSkip val="3"/>
        <noMultiLvlLbl val="1"/>
      </catAx>
      <valAx>
        <axId val="566377887"/>
        <scaling>
          <orientation val="minMax"/>
          <min val="0"/>
        </scaling>
        <delete val="0"/>
        <axPos val="l"/>
        <numFmt formatCode="m/d/yyyy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/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t>None</a:t>
            </a:r>
            <a:endParaRPr lang="pt-PT"/>
          </a:p>
        </txPr>
        <crossAx val="566373087"/>
        <crosses val="autoZero"/>
        <crossBetween val="between"/>
        <majorUnit val="100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849352580927384"/>
          <y val="0.1415587634878973"/>
          <w val="0.4623379265091864"/>
          <h val="0.7863269174686498"/>
        </manualLayout>
      </layout>
      <radarChart>
        <radarStyle val="filled"/>
        <varyColors val="0"/>
        <ser>
          <idx val="0"/>
          <order val="0"/>
          <spPr>
            <a:solidFill xmlns:a="http://schemas.openxmlformats.org/drawingml/2006/main">
              <a:srgbClr val="81AADB"/>
            </a:solidFill>
            <a:ln xmlns:a="http://schemas.openxmlformats.org/drawingml/2006/main" w="25400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[1]Industry!$N$28:$N$32</f>
              <strCache>
                <ptCount val="5"/>
                <pt idx="0">
                  <v>Rivalry Among Existing Competitors</v>
                </pt>
                <pt idx="1">
                  <v>Threat of New Entrants</v>
                </pt>
                <pt idx="2">
                  <v>Threat of Substitutes</v>
                </pt>
                <pt idx="3">
                  <v>Bargaining Power of Customers</v>
                </pt>
                <pt idx="4">
                  <v>Bargaining Power of Suppliers</v>
                </pt>
              </strCache>
            </strRef>
          </cat>
          <val>
            <numRef>
              <f>[1]Industry!$R$28:$R$32</f>
              <numCache>
                <formatCode>General</formatCode>
                <ptCount val="5"/>
                <pt idx="0">
                  <v>5</v>
                </pt>
                <pt idx="1">
                  <v>1</v>
                </pt>
                <pt idx="2">
                  <v>2</v>
                </pt>
                <pt idx="3">
                  <v>4</v>
                </pt>
                <pt idx="4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936468056"/>
        <axId val="936462480"/>
      </radarChart>
      <catAx>
        <axId val="936468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ysClr val="windowText" lastClr="000000"/>
                </a:solidFill>
                <a:latin typeface="Arial Nova" panose="020B0504020202020204" pitchFamily="34" charset="0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36462480"/>
        <crosses val="autoZero"/>
        <auto val="1"/>
        <lblAlgn val="ctr"/>
        <lblOffset val="100"/>
        <noMultiLvlLbl val="0"/>
      </catAx>
      <valAx>
        <axId val="936462480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936468056"/>
        <crosses val="autoZero"/>
        <crossBetween val="between"/>
      </valAx>
    </plotArea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0</col>
      <colOff>304801</colOff>
      <row>3</row>
      <rowOff>85725</rowOff>
    </from>
    <to>
      <col>8</col>
      <colOff>600076</colOff>
      <row>14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12</col>
      <colOff>487845</colOff>
      <row>19</row>
      <rowOff>171449</rowOff>
    </from>
    <to>
      <col>18</col>
      <colOff>314324</colOff>
      <row>21</row>
      <rowOff>1457324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8382000" cy="438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</row>
      <rowOff>0</rowOff>
    </from>
    <ext cx="7810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69</row>
      <rowOff>0</rowOff>
    </from>
    <ext cx="8191500" cy="438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phdisegutl.sharepoint.com/sites/LIS-GENERAL-SecuritiesResearch/Shared%20Documents/Research/Global%20Edge/2%20Portfolio%20Management/1%20SEM/Inf.%20Technology%20&#8211;%20Raul%20Vasconcelos/Micron%20&#8211;%20Raul%20Vasconcelos/Micron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phdisegutl.sharepoint.com/sites/FairValue-StockPitch/Shared%20Documents/General/Stock%20Pitch%20-%20Excel%20Mod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"/>
      <sheetName val="Segments"/>
      <sheetName val="Industry"/>
      <sheetName val="Peers"/>
      <sheetName val="Multiple Periods"/>
      <sheetName val="WACC"/>
      <sheetName val="FCFF"/>
      <sheetName val="Reverse DCF"/>
    </sheetNames>
    <sheetDataSet>
      <sheetData sheetId="0"/>
      <sheetData sheetId="1"/>
      <sheetData sheetId="2">
        <row r="28">
          <cell r="N28" t="str">
            <v>Rivalry Among Existing Competitors</v>
          </cell>
          <cell r="R28">
            <v>5</v>
          </cell>
        </row>
        <row r="29">
          <cell r="N29" t="str">
            <v>Threat of New Entrants</v>
          </cell>
          <cell r="R29">
            <v>1</v>
          </cell>
        </row>
        <row r="30">
          <cell r="N30" t="str">
            <v>Threat of Substitutes</v>
          </cell>
          <cell r="R30">
            <v>2</v>
          </cell>
        </row>
        <row r="31">
          <cell r="N31" t="str">
            <v>Bargaining Power of Customers</v>
          </cell>
          <cell r="R31">
            <v>4</v>
          </cell>
        </row>
        <row r="32">
          <cell r="N32" t="str">
            <v>Bargaining Power of Suppliers</v>
          </cell>
          <cell r="R32">
            <v>3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"/>
      <sheetName val="ESG"/>
      <sheetName val="Peers"/>
      <sheetName val="Segments"/>
      <sheetName val="Industry"/>
      <sheetName val="WACC"/>
      <sheetName val="DCF Model"/>
    </sheetNames>
    <sheetDataSet>
      <sheetData sheetId="0">
        <row r="11">
          <cell r="U11">
            <v>3718145.5163999996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503"/>
  <sheetViews>
    <sheetView showGridLines="0" workbookViewId="0">
      <selection activeCell="U6" sqref="U6"/>
    </sheetView>
  </sheetViews>
  <sheetFormatPr baseColWidth="8" defaultRowHeight="16.5"/>
  <cols>
    <col width="4.7109375" customWidth="1" style="2" min="1" max="1"/>
    <col width="9.140625" customWidth="1" style="2" min="2" max="9"/>
    <col width="4.7109375" customWidth="1" style="2" min="10" max="10"/>
    <col width="9.140625" customWidth="1" style="2" min="11" max="18"/>
    <col width="9.140625" customWidth="1" style="5" min="19" max="19"/>
    <col width="39.28515625" customWidth="1" style="2" min="20" max="20"/>
    <col width="15.5703125" bestFit="1" customWidth="1" style="2" min="21" max="21"/>
    <col width="9.140625" customWidth="1" style="2" min="22" max="24"/>
    <col width="12.42578125" bestFit="1" customWidth="1" style="2" min="25" max="25"/>
    <col width="9.140625" customWidth="1" style="2" min="26" max="16384"/>
  </cols>
  <sheetData>
    <row r="1">
      <c r="S1" s="2" t="n"/>
    </row>
    <row r="2" ht="21" customHeight="1">
      <c r="B2" s="3" t="inlineStr">
        <is>
          <t>Stock Performance</t>
        </is>
      </c>
      <c r="C2" s="1" t="n"/>
      <c r="D2" s="1" t="n"/>
      <c r="E2" s="1" t="n"/>
      <c r="F2" s="1" t="n"/>
      <c r="G2" s="1" t="n"/>
      <c r="H2" s="1" t="n"/>
      <c r="I2" s="1" t="n"/>
      <c r="K2" s="3" t="inlineStr">
        <is>
          <t>Executive Summary</t>
        </is>
      </c>
      <c r="L2" s="1" t="n"/>
      <c r="M2" s="1" t="n"/>
      <c r="N2" s="1" t="n"/>
      <c r="O2" s="1" t="n"/>
      <c r="P2" s="1" t="n"/>
      <c r="Q2" s="1" t="n"/>
      <c r="R2" s="1" t="n"/>
      <c r="T2" s="16" t="inlineStr">
        <is>
          <t>Buy</t>
        </is>
      </c>
      <c r="Y2" s="2" t="inlineStr">
        <is>
          <t xml:space="preserve">Stock Price: </t>
        </is>
      </c>
    </row>
    <row r="3" ht="4.5" customHeight="1">
      <c r="B3" s="4" t="n"/>
      <c r="C3" s="4" t="n"/>
      <c r="D3" s="4" t="n"/>
      <c r="E3" s="4" t="n"/>
      <c r="F3" s="4" t="n"/>
      <c r="G3" s="4" t="n"/>
      <c r="H3" s="4" t="n"/>
      <c r="I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K4" s="188" t="inlineStr">
        <is>
          <t>Apple Inc. designs, manufactures, and markets smartphones, personal computers, tablets, wearables and accessories, and sells a variety of related accessories. The Company also offers payment, digital content, cloud and advertising services. Apple Inc.'s customers are primarily in consumer, small &amp; mid-sized business, education, enterprise and government markets worldwide.</t>
        </is>
      </c>
      <c r="Y4" s="11" t="n">
        <v>45369</v>
      </c>
      <c r="Z4" s="9" t="n">
        <v>173.72</v>
      </c>
    </row>
    <row r="5">
      <c r="T5" s="2" t="inlineStr">
        <is>
          <t>BBG Ticker</t>
        </is>
      </c>
      <c r="U5" s="15" t="inlineStr">
        <is>
          <t>AAPL US EQUITY</t>
        </is>
      </c>
      <c r="Y5" s="10" t="n">
        <v>45370</v>
      </c>
      <c r="Z5" s="9" t="n">
        <v>176.08</v>
      </c>
    </row>
    <row r="6">
      <c r="T6" s="2" t="inlineStr">
        <is>
          <t>Price</t>
        </is>
      </c>
      <c r="U6" s="2" t="n">
        <v>252.65</v>
      </c>
      <c r="Y6" s="10" t="n">
        <v>45371</v>
      </c>
      <c r="Z6" s="9" t="n">
        <v>178.67</v>
      </c>
    </row>
    <row r="7">
      <c r="Y7" s="10" t="n">
        <v>45372</v>
      </c>
      <c r="Z7" s="9" t="n">
        <v>171.37</v>
      </c>
    </row>
    <row r="8">
      <c r="T8" s="2" t="inlineStr">
        <is>
          <t>Target Price</t>
        </is>
      </c>
      <c r="U8" s="315">
        <f>'DCF Model'!D83</f>
        <v/>
      </c>
      <c r="Y8" s="10" t="n">
        <v>45373</v>
      </c>
      <c r="Z8" s="9" t="n">
        <v>172.28</v>
      </c>
    </row>
    <row r="9">
      <c r="T9" s="2" t="inlineStr">
        <is>
          <t>Upside</t>
        </is>
      </c>
      <c r="U9" s="304">
        <f>IFERROR(U8/U6-1,"")</f>
        <v/>
      </c>
      <c r="Y9" s="10" t="n">
        <v>45376</v>
      </c>
      <c r="Z9" s="9" t="n">
        <v>170.85</v>
      </c>
    </row>
    <row r="10">
      <c r="Y10" s="10" t="n">
        <v>45377</v>
      </c>
      <c r="Z10" s="9" t="n">
        <v>169.71</v>
      </c>
    </row>
    <row r="11">
      <c r="T11" s="2" t="inlineStr">
        <is>
          <t>Market Cap (Millions)</t>
        </is>
      </c>
      <c r="U11" s="18" t="n">
        <v>3718145.5164</v>
      </c>
      <c r="Y11" s="10" t="n">
        <v>45378</v>
      </c>
      <c r="Z11" s="9" t="n">
        <v>173.31</v>
      </c>
    </row>
    <row r="12">
      <c r="Y12" s="10" t="n">
        <v>45379</v>
      </c>
      <c r="Z12" s="9" t="n">
        <v>171.48</v>
      </c>
    </row>
    <row r="13">
      <c r="Y13" s="10" t="n">
        <v>45383</v>
      </c>
      <c r="Z13" s="9" t="n">
        <v>170.03</v>
      </c>
    </row>
    <row r="14">
      <c r="Y14" s="10" t="n">
        <v>45384</v>
      </c>
      <c r="Z14" s="9" t="n">
        <v>168.84</v>
      </c>
    </row>
    <row r="15">
      <c r="Y15" s="10" t="n">
        <v>45385</v>
      </c>
      <c r="Z15" s="9" t="n">
        <v>169.65</v>
      </c>
    </row>
    <row r="16">
      <c r="B16" s="3" t="inlineStr">
        <is>
          <t>SWOT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T16" s="12" t="inlineStr">
        <is>
          <t>Statistics</t>
        </is>
      </c>
      <c r="U16" s="4" t="n"/>
      <c r="Y16" s="10" t="n">
        <v>45386</v>
      </c>
      <c r="Z16" s="9" t="n">
        <v>168.82</v>
      </c>
    </row>
    <row r="17">
      <c r="B17" s="7" t="inlineStr">
        <is>
          <t>Strenghs</t>
        </is>
      </c>
      <c r="C17" s="4" t="n"/>
      <c r="D17" s="4" t="n"/>
      <c r="E17" s="4" t="n"/>
      <c r="F17" s="4" t="n"/>
      <c r="G17" s="4" t="n"/>
      <c r="H17" s="4" t="n"/>
      <c r="I17" s="4" t="n"/>
      <c r="J17" s="6" t="n"/>
      <c r="K17" s="7" t="inlineStr">
        <is>
          <t>Weaknesses</t>
        </is>
      </c>
      <c r="L17" s="4" t="n"/>
      <c r="M17" s="4" t="n"/>
      <c r="N17" s="4" t="n"/>
      <c r="O17" s="4" t="n"/>
      <c r="P17" s="4" t="n"/>
      <c r="Q17" s="4" t="n"/>
      <c r="R17" s="4" t="n"/>
      <c r="T17" s="2" t="inlineStr">
        <is>
          <t>Beta</t>
        </is>
      </c>
      <c r="U17" s="13" t="n">
        <v>1.098464846611023</v>
      </c>
      <c r="Y17" s="10" t="n">
        <v>45387</v>
      </c>
      <c r="Z17" s="9" t="n">
        <v>169.58</v>
      </c>
    </row>
    <row r="18">
      <c r="B18" s="186" t="n"/>
      <c r="J18" s="241" t="n"/>
      <c r="K18" s="187" t="n"/>
      <c r="T18" s="2" t="inlineStr">
        <is>
          <t>% Float</t>
        </is>
      </c>
      <c r="U18" s="14" t="n">
        <v>0.9831211000000001</v>
      </c>
      <c r="Y18" s="10" t="n">
        <v>45390</v>
      </c>
      <c r="Z18" s="9" t="n">
        <v>168.45</v>
      </c>
    </row>
    <row r="19">
      <c r="J19" s="241" t="n"/>
      <c r="K19" s="242" t="n"/>
      <c r="T19" s="2" t="inlineStr">
        <is>
          <t>% Held by Insiders</t>
        </is>
      </c>
      <c r="U19" s="14" t="n">
        <v>0.0006538419359804485</v>
      </c>
      <c r="Y19" s="10" t="n">
        <v>45391</v>
      </c>
      <c r="Z19" s="9" t="n">
        <v>169.67</v>
      </c>
    </row>
    <row r="20">
      <c r="J20" s="241" t="n"/>
      <c r="K20" s="242" t="n"/>
      <c r="T20" s="2" t="inlineStr">
        <is>
          <t>% Held by Institutions</t>
        </is>
      </c>
      <c r="U20" s="14" t="n">
        <v>0.6867215807138449</v>
      </c>
      <c r="Y20" s="10" t="n">
        <v>45392</v>
      </c>
      <c r="Z20" s="9" t="n">
        <v>167.78</v>
      </c>
    </row>
    <row r="21">
      <c r="J21" s="241" t="n"/>
      <c r="K21" s="242" t="n"/>
      <c r="Y21" s="10" t="n">
        <v>45393</v>
      </c>
      <c r="Z21" s="9" t="n">
        <v>175.04</v>
      </c>
    </row>
    <row r="22">
      <c r="J22" s="241" t="n"/>
      <c r="K22" s="242" t="n"/>
      <c r="Y22" s="10" t="n">
        <v>45394</v>
      </c>
      <c r="Z22" s="9" t="n">
        <v>176.55</v>
      </c>
    </row>
    <row r="23">
      <c r="J23" s="241" t="n"/>
      <c r="K23" s="242" t="n"/>
      <c r="Y23" s="10" t="n">
        <v>45397</v>
      </c>
      <c r="Z23" s="9" t="n">
        <v>172.69</v>
      </c>
    </row>
    <row r="24">
      <c r="B24" s="7" t="inlineStr">
        <is>
          <t>Opportunities</t>
        </is>
      </c>
      <c r="C24" s="4" t="n"/>
      <c r="D24" s="4" t="n"/>
      <c r="E24" s="4" t="n"/>
      <c r="F24" s="4" t="n"/>
      <c r="G24" s="4" t="n"/>
      <c r="H24" s="4" t="n"/>
      <c r="I24" s="4" t="n"/>
      <c r="J24" s="6" t="n"/>
      <c r="K24" s="7" t="inlineStr">
        <is>
          <t>Threats</t>
        </is>
      </c>
      <c r="L24" s="4" t="n"/>
      <c r="M24" s="4" t="n"/>
      <c r="N24" s="4" t="n"/>
      <c r="O24" s="4" t="n"/>
      <c r="P24" s="4" t="n"/>
      <c r="Q24" s="4" t="n"/>
      <c r="R24" s="4" t="n"/>
      <c r="Y24" s="10" t="n">
        <v>45398</v>
      </c>
      <c r="Z24" s="9" t="n">
        <v>169.38</v>
      </c>
    </row>
    <row r="25">
      <c r="B25" s="186" t="n"/>
      <c r="J25" s="241" t="n"/>
      <c r="K25" s="185" t="n"/>
      <c r="Y25" s="10" t="n">
        <v>45399</v>
      </c>
      <c r="Z25" s="9" t="n">
        <v>168</v>
      </c>
    </row>
    <row r="26">
      <c r="J26" s="241" t="n"/>
      <c r="Y26" s="10" t="n">
        <v>45400</v>
      </c>
      <c r="Z26" s="9" t="n">
        <v>167.04</v>
      </c>
    </row>
    <row r="27">
      <c r="J27" s="241" t="n"/>
      <c r="Y27" s="10" t="n">
        <v>45401</v>
      </c>
      <c r="Z27" s="9" t="n">
        <v>165</v>
      </c>
    </row>
    <row r="28">
      <c r="J28" s="241" t="n"/>
      <c r="Y28" s="10" t="n">
        <v>45404</v>
      </c>
      <c r="Z28" s="9" t="n">
        <v>165.84</v>
      </c>
    </row>
    <row r="29">
      <c r="J29" s="241" t="n"/>
      <c r="Y29" s="10" t="n">
        <v>45405</v>
      </c>
      <c r="Z29" s="9" t="n">
        <v>166.9</v>
      </c>
    </row>
    <row r="30">
      <c r="J30" s="241" t="n"/>
      <c r="Y30" s="10" t="n">
        <v>45406</v>
      </c>
      <c r="Z30" s="9" t="n">
        <v>169.02</v>
      </c>
    </row>
    <row r="31">
      <c r="Y31" s="10" t="n">
        <v>45407</v>
      </c>
      <c r="Z31" s="9" t="n">
        <v>169.89</v>
      </c>
    </row>
    <row r="32">
      <c r="Y32" s="10" t="n">
        <v>45408</v>
      </c>
      <c r="Z32" s="9" t="n">
        <v>169.3</v>
      </c>
    </row>
    <row r="33">
      <c r="Y33" s="10" t="n">
        <v>45411</v>
      </c>
      <c r="Z33" s="9" t="n">
        <v>173.5</v>
      </c>
    </row>
    <row r="34">
      <c r="Y34" s="10" t="n">
        <v>45412</v>
      </c>
      <c r="Z34" s="9" t="n">
        <v>170.33</v>
      </c>
    </row>
    <row r="35">
      <c r="Y35" s="10" t="n">
        <v>45413</v>
      </c>
      <c r="Z35" s="9" t="n">
        <v>169.3</v>
      </c>
    </row>
    <row r="36">
      <c r="Y36" s="10" t="n">
        <v>45414</v>
      </c>
      <c r="Z36" s="9" t="n">
        <v>173.03</v>
      </c>
    </row>
    <row r="37">
      <c r="Y37" s="10" t="n">
        <v>45415</v>
      </c>
      <c r="Z37" s="9" t="n">
        <v>183.38</v>
      </c>
    </row>
    <row r="38">
      <c r="Y38" s="10" t="n">
        <v>45418</v>
      </c>
      <c r="Z38" s="9" t="n">
        <v>181.71</v>
      </c>
    </row>
    <row r="39">
      <c r="Y39" s="10" t="n">
        <v>45419</v>
      </c>
      <c r="Z39" s="9" t="n">
        <v>182.4</v>
      </c>
    </row>
    <row r="40">
      <c r="Y40" s="10" t="n">
        <v>45420</v>
      </c>
      <c r="Z40" s="9" t="n">
        <v>182.74</v>
      </c>
    </row>
    <row r="41">
      <c r="Y41" s="10" t="n">
        <v>45421</v>
      </c>
      <c r="Z41" s="9" t="n">
        <v>184.57</v>
      </c>
    </row>
    <row r="42">
      <c r="Y42" s="10" t="n">
        <v>45422</v>
      </c>
      <c r="Z42" s="9" t="n">
        <v>183.05</v>
      </c>
    </row>
    <row r="43">
      <c r="Y43" s="10" t="n">
        <v>45425</v>
      </c>
      <c r="Z43" s="9" t="n">
        <v>186.28</v>
      </c>
    </row>
    <row r="44">
      <c r="Y44" s="10" t="n">
        <v>45426</v>
      </c>
      <c r="Z44" s="9" t="n">
        <v>187.43</v>
      </c>
    </row>
    <row r="45">
      <c r="Y45" s="10" t="n">
        <v>45427</v>
      </c>
      <c r="Z45" s="9" t="n">
        <v>189.72</v>
      </c>
    </row>
    <row r="46">
      <c r="Y46" s="10" t="n">
        <v>45428</v>
      </c>
      <c r="Z46" s="9" t="n">
        <v>189.84</v>
      </c>
    </row>
    <row r="47">
      <c r="Y47" s="10" t="n">
        <v>45429</v>
      </c>
      <c r="Z47" s="9" t="n">
        <v>189.87</v>
      </c>
    </row>
    <row r="48">
      <c r="Y48" s="10" t="n">
        <v>45432</v>
      </c>
      <c r="Z48" s="9" t="n">
        <v>191.04</v>
      </c>
    </row>
    <row r="49">
      <c r="Y49" s="10" t="n">
        <v>45433</v>
      </c>
      <c r="Z49" s="9" t="n">
        <v>192.35</v>
      </c>
    </row>
    <row r="50">
      <c r="Y50" s="10" t="n">
        <v>45434</v>
      </c>
      <c r="Z50" s="9" t="n">
        <v>190.9</v>
      </c>
    </row>
    <row r="51">
      <c r="Y51" s="10" t="n">
        <v>45435</v>
      </c>
      <c r="Z51" s="9" t="n">
        <v>186.88</v>
      </c>
    </row>
    <row r="52">
      <c r="Y52" s="10" t="n">
        <v>45436</v>
      </c>
      <c r="Z52" s="9" t="n">
        <v>189.98</v>
      </c>
    </row>
    <row r="53">
      <c r="Y53" s="10" t="n">
        <v>45440</v>
      </c>
      <c r="Z53" s="9" t="n">
        <v>189.99</v>
      </c>
    </row>
    <row r="54">
      <c r="Y54" s="10" t="n">
        <v>45441</v>
      </c>
      <c r="Z54" s="9" t="n">
        <v>190.29</v>
      </c>
    </row>
    <row r="55">
      <c r="Y55" s="10" t="n">
        <v>45442</v>
      </c>
      <c r="Z55" s="9" t="n">
        <v>191.29</v>
      </c>
    </row>
    <row r="56">
      <c r="Y56" s="10" t="n">
        <v>45443</v>
      </c>
      <c r="Z56" s="9" t="n">
        <v>192.25</v>
      </c>
    </row>
    <row r="57">
      <c r="Y57" s="10" t="n">
        <v>45446</v>
      </c>
      <c r="Z57" s="9" t="n">
        <v>194.03</v>
      </c>
    </row>
    <row r="58">
      <c r="Y58" s="10" t="n">
        <v>45447</v>
      </c>
      <c r="Z58" s="9" t="n">
        <v>194.35</v>
      </c>
    </row>
    <row r="59">
      <c r="Y59" s="10" t="n">
        <v>45448</v>
      </c>
      <c r="Z59" s="9" t="n">
        <v>195.87</v>
      </c>
    </row>
    <row r="60">
      <c r="Y60" s="10" t="n">
        <v>45449</v>
      </c>
      <c r="Z60" s="9" t="n">
        <v>194.48</v>
      </c>
    </row>
    <row r="61">
      <c r="Y61" s="10" t="n">
        <v>45450</v>
      </c>
      <c r="Z61" s="9" t="n">
        <v>196.89</v>
      </c>
    </row>
    <row r="62">
      <c r="Y62" s="10" t="n">
        <v>45453</v>
      </c>
      <c r="Z62" s="9" t="n">
        <v>193.12</v>
      </c>
    </row>
    <row r="63">
      <c r="Y63" s="10" t="n">
        <v>45454</v>
      </c>
      <c r="Z63" s="9" t="n">
        <v>207.15</v>
      </c>
    </row>
    <row r="64">
      <c r="Y64" s="10" t="n">
        <v>45455</v>
      </c>
      <c r="Z64" s="9" t="n">
        <v>213.07</v>
      </c>
    </row>
    <row r="65">
      <c r="Y65" s="10" t="n">
        <v>45456</v>
      </c>
      <c r="Z65" s="9" t="n">
        <v>214.24</v>
      </c>
    </row>
    <row r="66">
      <c r="Y66" s="10" t="n">
        <v>45457</v>
      </c>
      <c r="Z66" s="9" t="n">
        <v>212.49</v>
      </c>
    </row>
    <row r="67">
      <c r="Y67" s="10" t="n">
        <v>45460</v>
      </c>
      <c r="Z67" s="9" t="n">
        <v>216.67</v>
      </c>
    </row>
    <row r="68">
      <c r="Y68" s="10" t="n">
        <v>45461</v>
      </c>
      <c r="Z68" s="9" t="n">
        <v>214.29</v>
      </c>
    </row>
    <row r="69">
      <c r="Y69" s="10" t="n">
        <v>45463</v>
      </c>
      <c r="Z69" s="9" t="n">
        <v>209.68</v>
      </c>
    </row>
    <row r="70">
      <c r="Y70" s="10" t="n">
        <v>45464</v>
      </c>
      <c r="Z70" s="9" t="n">
        <v>207.49</v>
      </c>
    </row>
    <row r="71">
      <c r="Y71" s="10" t="n">
        <v>45467</v>
      </c>
      <c r="Z71" s="9" t="n">
        <v>208.14</v>
      </c>
    </row>
    <row r="72">
      <c r="Y72" s="10" t="n">
        <v>45468</v>
      </c>
      <c r="Z72" s="9" t="n">
        <v>209.07</v>
      </c>
    </row>
    <row r="73">
      <c r="Y73" s="10" t="n">
        <v>45469</v>
      </c>
      <c r="Z73" s="9" t="n">
        <v>213.25</v>
      </c>
    </row>
    <row r="74">
      <c r="Y74" s="10" t="n">
        <v>45470</v>
      </c>
      <c r="Z74" s="9" t="n">
        <v>214.1</v>
      </c>
    </row>
    <row r="75">
      <c r="Y75" s="10" t="n">
        <v>45471</v>
      </c>
      <c r="Z75" s="9" t="n">
        <v>210.62</v>
      </c>
    </row>
    <row r="76">
      <c r="Y76" s="10" t="n">
        <v>45474</v>
      </c>
      <c r="Z76" s="9" t="n">
        <v>216.75</v>
      </c>
    </row>
    <row r="77">
      <c r="Y77" s="10" t="n">
        <v>45475</v>
      </c>
      <c r="Z77" s="9" t="n">
        <v>220.27</v>
      </c>
    </row>
    <row r="78">
      <c r="Y78" s="10" t="n">
        <v>45476</v>
      </c>
      <c r="Z78" s="9" t="n">
        <v>221.55</v>
      </c>
    </row>
    <row r="79">
      <c r="Y79" s="10" t="n">
        <v>45478</v>
      </c>
      <c r="Z79" s="9" t="n">
        <v>226.34</v>
      </c>
    </row>
    <row r="80">
      <c r="Y80" s="10" t="n">
        <v>45481</v>
      </c>
      <c r="Z80" s="9" t="n">
        <v>227.82</v>
      </c>
    </row>
    <row r="81">
      <c r="Y81" s="10" t="n">
        <v>45482</v>
      </c>
      <c r="Z81" s="9" t="n">
        <v>228.68</v>
      </c>
    </row>
    <row r="82">
      <c r="Y82" s="10" t="n">
        <v>45483</v>
      </c>
      <c r="Z82" s="9" t="n">
        <v>232.98</v>
      </c>
    </row>
    <row r="83">
      <c r="Y83" s="10" t="n">
        <v>45484</v>
      </c>
      <c r="Z83" s="9" t="n">
        <v>227.57</v>
      </c>
    </row>
    <row r="84">
      <c r="Y84" s="10" t="n">
        <v>45485</v>
      </c>
      <c r="Z84" s="9" t="n">
        <v>230.54</v>
      </c>
    </row>
    <row r="85">
      <c r="Y85" s="10" t="n">
        <v>45488</v>
      </c>
      <c r="Z85" s="9" t="n">
        <v>234.4</v>
      </c>
    </row>
    <row r="86">
      <c r="Y86" s="10" t="n">
        <v>45489</v>
      </c>
      <c r="Z86" s="9" t="n">
        <v>234.82</v>
      </c>
    </row>
    <row r="87">
      <c r="Y87" s="10" t="n">
        <v>45490</v>
      </c>
      <c r="Z87" s="9" t="n">
        <v>228.88</v>
      </c>
    </row>
    <row r="88">
      <c r="Y88" s="10" t="n">
        <v>45491</v>
      </c>
      <c r="Z88" s="9" t="n">
        <v>224.18</v>
      </c>
    </row>
    <row r="89">
      <c r="Y89" s="10" t="n">
        <v>45492</v>
      </c>
      <c r="Z89" s="9" t="n">
        <v>224.31</v>
      </c>
    </row>
    <row r="90">
      <c r="Y90" s="10" t="n">
        <v>45495</v>
      </c>
      <c r="Z90" s="9" t="n">
        <v>223.96</v>
      </c>
    </row>
    <row r="91">
      <c r="Y91" s="10" t="n">
        <v>45496</v>
      </c>
      <c r="Z91" s="9" t="n">
        <v>225.01</v>
      </c>
    </row>
    <row r="92">
      <c r="Y92" s="10" t="n">
        <v>45497</v>
      </c>
      <c r="Z92" s="9" t="n">
        <v>218.54</v>
      </c>
    </row>
    <row r="93">
      <c r="Y93" s="10" t="n">
        <v>45498</v>
      </c>
      <c r="Z93" s="9" t="n">
        <v>217.49</v>
      </c>
    </row>
    <row r="94">
      <c r="Y94" s="10" t="n">
        <v>45499</v>
      </c>
      <c r="Z94" s="9" t="n">
        <v>217.96</v>
      </c>
    </row>
    <row r="95">
      <c r="Y95" s="10" t="n">
        <v>45502</v>
      </c>
      <c r="Z95" s="9" t="n">
        <v>218.24</v>
      </c>
    </row>
    <row r="96">
      <c r="Y96" s="10" t="n">
        <v>45503</v>
      </c>
      <c r="Z96" s="9" t="n">
        <v>218.8</v>
      </c>
    </row>
    <row r="97">
      <c r="Y97" s="10" t="n">
        <v>45504</v>
      </c>
      <c r="Z97" s="9" t="n">
        <v>222.08</v>
      </c>
    </row>
    <row r="98">
      <c r="Y98" s="10" t="n">
        <v>45505</v>
      </c>
      <c r="Z98" s="9" t="n">
        <v>218.36</v>
      </c>
    </row>
    <row r="99">
      <c r="Y99" s="10" t="n">
        <v>45506</v>
      </c>
      <c r="Z99" s="9" t="n">
        <v>219.86</v>
      </c>
    </row>
    <row r="100">
      <c r="Y100" s="10" t="n">
        <v>45509</v>
      </c>
      <c r="Z100" s="9" t="n">
        <v>209.27</v>
      </c>
    </row>
    <row r="101">
      <c r="Y101" s="10" t="n">
        <v>45510</v>
      </c>
      <c r="Z101" s="9" t="n">
        <v>207.23</v>
      </c>
    </row>
    <row r="102">
      <c r="Y102" s="10" t="n">
        <v>45511</v>
      </c>
      <c r="Z102" s="9" t="n">
        <v>209.82</v>
      </c>
    </row>
    <row r="103">
      <c r="Y103" s="10" t="n">
        <v>45512</v>
      </c>
      <c r="Z103" s="9" t="n">
        <v>213.31</v>
      </c>
    </row>
    <row r="104">
      <c r="Y104" s="10" t="n">
        <v>45513</v>
      </c>
      <c r="Z104" s="9" t="n">
        <v>216.24</v>
      </c>
    </row>
    <row r="105">
      <c r="Y105" s="10" t="n">
        <v>45516</v>
      </c>
      <c r="Z105" s="9" t="n">
        <v>217.53</v>
      </c>
    </row>
    <row r="106">
      <c r="Y106" s="10" t="n">
        <v>45517</v>
      </c>
      <c r="Z106" s="9" t="n">
        <v>221.27</v>
      </c>
    </row>
    <row r="107">
      <c r="Y107" s="10" t="n">
        <v>45518</v>
      </c>
      <c r="Z107" s="9" t="n">
        <v>221.72</v>
      </c>
    </row>
    <row r="108">
      <c r="Y108" s="10" t="n">
        <v>45519</v>
      </c>
      <c r="Z108" s="9" t="n">
        <v>224.72</v>
      </c>
    </row>
    <row r="109">
      <c r="Y109" s="10" t="n">
        <v>45520</v>
      </c>
      <c r="Z109" s="9" t="n">
        <v>226.05</v>
      </c>
    </row>
    <row r="110">
      <c r="Y110" s="10" t="n">
        <v>45523</v>
      </c>
      <c r="Z110" s="9" t="n">
        <v>225.89</v>
      </c>
    </row>
    <row r="111">
      <c r="Y111" s="10" t="n">
        <v>45524</v>
      </c>
      <c r="Z111" s="9" t="n">
        <v>226.51</v>
      </c>
    </row>
    <row r="112">
      <c r="Y112" s="10" t="n">
        <v>45525</v>
      </c>
      <c r="Z112" s="9" t="n">
        <v>226.4</v>
      </c>
    </row>
    <row r="113">
      <c r="Y113" s="10" t="n">
        <v>45526</v>
      </c>
      <c r="Z113" s="9" t="n">
        <v>224.53</v>
      </c>
    </row>
    <row r="114">
      <c r="Y114" s="10" t="n">
        <v>45527</v>
      </c>
      <c r="Z114" s="9" t="n">
        <v>226.84</v>
      </c>
    </row>
    <row r="115">
      <c r="Y115" s="10" t="n">
        <v>45530</v>
      </c>
      <c r="Z115" s="9" t="n">
        <v>227.18</v>
      </c>
    </row>
    <row r="116">
      <c r="Y116" s="10" t="n">
        <v>45531</v>
      </c>
      <c r="Z116" s="9" t="n">
        <v>228.03</v>
      </c>
    </row>
    <row r="117">
      <c r="Y117" s="10" t="n">
        <v>45532</v>
      </c>
      <c r="Z117" s="9" t="n">
        <v>226.49</v>
      </c>
    </row>
    <row r="118">
      <c r="Y118" s="10" t="n">
        <v>45533</v>
      </c>
      <c r="Z118" s="9" t="n">
        <v>229.79</v>
      </c>
    </row>
    <row r="119">
      <c r="Y119" s="10" t="n">
        <v>45534</v>
      </c>
      <c r="Z119" s="9" t="n">
        <v>229</v>
      </c>
    </row>
    <row r="120">
      <c r="Y120" s="10" t="n">
        <v>45538</v>
      </c>
      <c r="Z120" s="9" t="n">
        <v>222.77</v>
      </c>
    </row>
    <row r="121">
      <c r="Y121" s="10" t="n">
        <v>45539</v>
      </c>
      <c r="Z121" s="9" t="n">
        <v>220.85</v>
      </c>
    </row>
    <row r="122">
      <c r="Y122" s="10" t="n">
        <v>45540</v>
      </c>
      <c r="Z122" s="9" t="n">
        <v>222.38</v>
      </c>
    </row>
    <row r="123">
      <c r="Y123" s="10" t="n">
        <v>45541</v>
      </c>
      <c r="Z123" s="9" t="n">
        <v>220.82</v>
      </c>
    </row>
    <row r="124">
      <c r="Y124" s="10" t="n">
        <v>45544</v>
      </c>
      <c r="Z124" s="9" t="n">
        <v>220.91</v>
      </c>
    </row>
    <row r="125">
      <c r="Y125" s="10" t="n">
        <v>45545</v>
      </c>
      <c r="Z125" s="9" t="n">
        <v>220.11</v>
      </c>
    </row>
    <row r="126">
      <c r="Y126" s="10" t="n">
        <v>45546</v>
      </c>
      <c r="Z126" s="9" t="n">
        <v>222.66</v>
      </c>
    </row>
    <row r="127">
      <c r="Y127" s="10" t="n">
        <v>45547</v>
      </c>
      <c r="Z127" s="9" t="n">
        <v>222.77</v>
      </c>
    </row>
    <row r="128">
      <c r="Y128" s="10" t="n">
        <v>45548</v>
      </c>
      <c r="Z128" s="9" t="n">
        <v>222.5</v>
      </c>
    </row>
    <row r="129">
      <c r="Y129" s="10" t="n">
        <v>45551</v>
      </c>
      <c r="Z129" s="9" t="n">
        <v>216.32</v>
      </c>
    </row>
    <row r="130">
      <c r="Y130" s="10" t="n">
        <v>45552</v>
      </c>
      <c r="Z130" s="9" t="n">
        <v>216.79</v>
      </c>
    </row>
    <row r="131">
      <c r="Y131" s="10" t="n">
        <v>45553</v>
      </c>
      <c r="Z131" s="9" t="n">
        <v>220.69</v>
      </c>
    </row>
    <row r="132">
      <c r="Y132" s="10" t="n">
        <v>45554</v>
      </c>
      <c r="Z132" s="9" t="n">
        <v>228.87</v>
      </c>
    </row>
    <row r="133">
      <c r="Y133" s="10" t="n">
        <v>45555</v>
      </c>
      <c r="Z133" s="9" t="n">
        <v>228.2</v>
      </c>
    </row>
    <row r="134">
      <c r="Y134" s="10" t="n">
        <v>45558</v>
      </c>
      <c r="Z134" s="9" t="n">
        <v>226.47</v>
      </c>
    </row>
    <row r="135">
      <c r="Y135" s="10" t="n">
        <v>45559</v>
      </c>
      <c r="Z135" s="9" t="n">
        <v>227.37</v>
      </c>
    </row>
    <row r="136">
      <c r="Y136" s="10" t="n">
        <v>45560</v>
      </c>
      <c r="Z136" s="9" t="n">
        <v>226.37</v>
      </c>
    </row>
    <row r="137">
      <c r="Y137" s="10" t="n">
        <v>45561</v>
      </c>
      <c r="Z137" s="9" t="n">
        <v>227.52</v>
      </c>
    </row>
    <row r="138">
      <c r="Y138" s="10" t="n">
        <v>45562</v>
      </c>
      <c r="Z138" s="9" t="n">
        <v>227.79</v>
      </c>
    </row>
    <row r="139">
      <c r="Y139" s="10" t="n">
        <v>45565</v>
      </c>
      <c r="Z139" s="9" t="n">
        <v>233</v>
      </c>
    </row>
    <row r="140">
      <c r="Y140" s="10" t="n">
        <v>45566</v>
      </c>
      <c r="Z140" s="9" t="n">
        <v>226.21</v>
      </c>
    </row>
    <row r="141">
      <c r="Y141" s="10" t="n">
        <v>45567</v>
      </c>
      <c r="Z141" s="9" t="n">
        <v>226.78</v>
      </c>
    </row>
    <row r="142">
      <c r="Y142" s="10" t="n">
        <v>45568</v>
      </c>
      <c r="Z142" s="9" t="n">
        <v>225.67</v>
      </c>
    </row>
    <row r="143">
      <c r="Y143" s="10" t="n">
        <v>45569</v>
      </c>
      <c r="Z143" s="9" t="n">
        <v>226.8</v>
      </c>
    </row>
    <row r="144">
      <c r="Y144" s="10" t="n">
        <v>45572</v>
      </c>
      <c r="Z144" s="9" t="n">
        <v>221.69</v>
      </c>
    </row>
    <row r="145">
      <c r="Y145" s="10" t="n">
        <v>45573</v>
      </c>
      <c r="Z145" s="9" t="n">
        <v>225.77</v>
      </c>
    </row>
    <row r="146">
      <c r="Y146" s="10" t="n">
        <v>45574</v>
      </c>
      <c r="Z146" s="9" t="n">
        <v>229.54</v>
      </c>
    </row>
    <row r="147">
      <c r="Y147" s="10" t="n">
        <v>45575</v>
      </c>
      <c r="Z147" s="9" t="n">
        <v>229.04</v>
      </c>
    </row>
    <row r="148">
      <c r="Y148" s="10" t="n">
        <v>45576</v>
      </c>
      <c r="Z148" s="9" t="n">
        <v>227.55</v>
      </c>
    </row>
    <row r="149">
      <c r="Y149" s="10" t="n">
        <v>45579</v>
      </c>
      <c r="Z149" s="9" t="n">
        <v>231.3</v>
      </c>
    </row>
    <row r="150">
      <c r="Y150" s="10" t="n">
        <v>45580</v>
      </c>
      <c r="Z150" s="9" t="n">
        <v>233.85</v>
      </c>
    </row>
    <row r="151">
      <c r="Y151" s="10" t="n">
        <v>45581</v>
      </c>
      <c r="Z151" s="9" t="n">
        <v>231.78</v>
      </c>
    </row>
    <row r="152">
      <c r="Y152" s="10" t="n">
        <v>45582</v>
      </c>
      <c r="Z152" s="9" t="n">
        <v>232.15</v>
      </c>
    </row>
    <row r="153">
      <c r="Y153" s="10" t="n">
        <v>45583</v>
      </c>
      <c r="Z153" s="9" t="n">
        <v>235</v>
      </c>
    </row>
    <row r="154">
      <c r="Y154" s="10" t="n">
        <v>45586</v>
      </c>
      <c r="Z154" s="9" t="n">
        <v>236.48</v>
      </c>
    </row>
    <row r="155">
      <c r="Y155" s="10" t="n">
        <v>45587</v>
      </c>
      <c r="Z155" s="9" t="n">
        <v>235.86</v>
      </c>
    </row>
    <row r="156">
      <c r="Y156" s="10" t="n">
        <v>45588</v>
      </c>
      <c r="Z156" s="9" t="n">
        <v>230.76</v>
      </c>
    </row>
    <row r="157">
      <c r="Y157" s="10" t="n">
        <v>45589</v>
      </c>
      <c r="Z157" s="9" t="n">
        <v>230.57</v>
      </c>
    </row>
    <row r="158">
      <c r="Y158" s="10" t="n">
        <v>45590</v>
      </c>
      <c r="Z158" s="9" t="n">
        <v>231.41</v>
      </c>
    </row>
    <row r="159">
      <c r="Y159" s="10" t="n">
        <v>45593</v>
      </c>
      <c r="Z159" s="9" t="n">
        <v>233.4</v>
      </c>
    </row>
    <row r="160">
      <c r="Y160" s="10" t="n">
        <v>45594</v>
      </c>
      <c r="Z160" s="9" t="n">
        <v>233.67</v>
      </c>
    </row>
    <row r="161">
      <c r="Y161" s="10" t="n">
        <v>45595</v>
      </c>
      <c r="Z161" s="9" t="n">
        <v>230.1</v>
      </c>
    </row>
    <row r="162">
      <c r="Y162" s="10" t="n">
        <v>45596</v>
      </c>
      <c r="Z162" s="9" t="n">
        <v>225.91</v>
      </c>
    </row>
    <row r="163">
      <c r="Y163" s="10" t="n">
        <v>45597</v>
      </c>
      <c r="Z163" s="9" t="n">
        <v>222.91</v>
      </c>
    </row>
    <row r="164">
      <c r="Y164" s="10" t="n">
        <v>45600</v>
      </c>
      <c r="Z164" s="9" t="n">
        <v>222.01</v>
      </c>
    </row>
    <row r="165">
      <c r="Y165" s="10" t="n">
        <v>45601</v>
      </c>
      <c r="Z165" s="9" t="n">
        <v>223.45</v>
      </c>
    </row>
    <row r="166">
      <c r="Y166" s="10" t="n">
        <v>45602</v>
      </c>
      <c r="Z166" s="9" t="n">
        <v>222.72</v>
      </c>
    </row>
    <row r="167">
      <c r="Y167" s="10" t="n">
        <v>45603</v>
      </c>
      <c r="Z167" s="9" t="n">
        <v>227.48</v>
      </c>
    </row>
    <row r="168">
      <c r="Y168" s="10" t="n">
        <v>45604</v>
      </c>
      <c r="Z168" s="9" t="n">
        <v>226.96</v>
      </c>
    </row>
    <row r="169">
      <c r="Y169" s="10" t="n">
        <v>45607</v>
      </c>
      <c r="Z169" s="9" t="n">
        <v>224.23</v>
      </c>
    </row>
    <row r="170">
      <c r="Y170" s="10" t="n">
        <v>45608</v>
      </c>
      <c r="Z170" s="9" t="n">
        <v>224.23</v>
      </c>
    </row>
    <row r="171">
      <c r="Y171" s="10" t="n">
        <v>45609</v>
      </c>
      <c r="Z171" s="9" t="n">
        <v>225.12</v>
      </c>
    </row>
    <row r="172">
      <c r="Y172" s="10" t="n">
        <v>45610</v>
      </c>
      <c r="Z172" s="9" t="n">
        <v>228.22</v>
      </c>
    </row>
    <row r="173">
      <c r="Y173" s="10" t="n">
        <v>45611</v>
      </c>
      <c r="Z173" s="9" t="n">
        <v>225</v>
      </c>
    </row>
    <row r="174">
      <c r="Y174" s="10" t="n">
        <v>45614</v>
      </c>
      <c r="Z174" s="9" t="n">
        <v>228.02</v>
      </c>
    </row>
    <row r="175">
      <c r="Y175" s="10" t="n">
        <v>45615</v>
      </c>
      <c r="Z175" s="9" t="n">
        <v>228.28</v>
      </c>
    </row>
    <row r="176">
      <c r="Y176" s="10" t="n">
        <v>45616</v>
      </c>
      <c r="Z176" s="9" t="n">
        <v>229</v>
      </c>
    </row>
    <row r="177">
      <c r="Y177" s="10" t="n">
        <v>45617</v>
      </c>
      <c r="Z177" s="9" t="n">
        <v>228.52</v>
      </c>
    </row>
    <row r="178">
      <c r="Y178" s="10" t="n">
        <v>45618</v>
      </c>
      <c r="Z178" s="9" t="n">
        <v>229.87</v>
      </c>
    </row>
    <row r="179">
      <c r="Y179" s="10" t="n">
        <v>45621</v>
      </c>
      <c r="Z179" s="9" t="n">
        <v>232.87</v>
      </c>
    </row>
    <row r="180">
      <c r="Y180" s="10" t="n">
        <v>45622</v>
      </c>
      <c r="Z180" s="9" t="n">
        <v>235.06</v>
      </c>
    </row>
    <row r="181">
      <c r="Y181" s="10" t="n">
        <v>45623</v>
      </c>
      <c r="Z181" s="9" t="n">
        <v>234.93</v>
      </c>
    </row>
    <row r="182">
      <c r="Y182" s="10" t="n">
        <v>45625</v>
      </c>
      <c r="Z182" s="9" t="n">
        <v>237.33</v>
      </c>
    </row>
    <row r="183">
      <c r="Y183" s="10" t="n">
        <v>45628</v>
      </c>
      <c r="Z183" s="9" t="n">
        <v>239.59</v>
      </c>
    </row>
    <row r="184">
      <c r="Y184" s="10" t="n">
        <v>45629</v>
      </c>
      <c r="Z184" s="9" t="n">
        <v>242.65</v>
      </c>
    </row>
    <row r="185">
      <c r="Y185" s="10" t="n">
        <v>45630</v>
      </c>
      <c r="Z185" s="9" t="n">
        <v>243.01</v>
      </c>
    </row>
    <row r="186">
      <c r="Y186" s="10" t="n">
        <v>45631</v>
      </c>
      <c r="Z186" s="9" t="n">
        <v>243.04</v>
      </c>
    </row>
    <row r="187">
      <c r="Y187" s="10" t="n">
        <v>45632</v>
      </c>
      <c r="Z187" s="9" t="n">
        <v>242.84</v>
      </c>
    </row>
    <row r="188">
      <c r="Y188" s="10" t="n">
        <v>45635</v>
      </c>
      <c r="Z188" s="9" t="n">
        <v>246.75</v>
      </c>
    </row>
    <row r="189">
      <c r="Y189" s="10" t="n">
        <v>45636</v>
      </c>
      <c r="Z189" s="9" t="n">
        <v>247.77</v>
      </c>
    </row>
    <row r="190">
      <c r="Y190" s="10" t="n">
        <v>45637</v>
      </c>
      <c r="Z190" s="9" t="n">
        <v>246.49</v>
      </c>
    </row>
    <row r="191">
      <c r="Y191" s="10" t="n">
        <v>45638</v>
      </c>
      <c r="Z191" s="9" t="n">
        <v>247.96</v>
      </c>
    </row>
    <row r="192">
      <c r="Y192" s="10" t="n">
        <v>45639</v>
      </c>
      <c r="Z192" s="9" t="n">
        <v>248.13</v>
      </c>
    </row>
    <row r="193">
      <c r="Y193" s="10" t="n">
        <v>45642</v>
      </c>
      <c r="Z193" s="9" t="n">
        <v>251.04</v>
      </c>
    </row>
    <row r="194">
      <c r="Y194" s="10" t="n">
        <v>45643</v>
      </c>
      <c r="Z194" s="9" t="n">
        <v>253.48</v>
      </c>
    </row>
    <row r="195">
      <c r="Y195" s="10" t="n">
        <v>45644</v>
      </c>
      <c r="Z195" s="9" t="n">
        <v>248.05</v>
      </c>
    </row>
    <row r="196">
      <c r="Y196" s="10" t="n">
        <v>45645</v>
      </c>
      <c r="Z196" s="9" t="n">
        <v>249.79</v>
      </c>
    </row>
    <row r="197">
      <c r="Y197" s="10" t="n">
        <v>45646</v>
      </c>
      <c r="Z197" s="9" t="n">
        <v>254.49</v>
      </c>
    </row>
    <row r="198">
      <c r="Y198" s="10" t="n">
        <v>45649</v>
      </c>
      <c r="Z198" s="9" t="n">
        <v>255.27</v>
      </c>
    </row>
    <row r="199">
      <c r="Y199" s="10" t="n">
        <v>45650</v>
      </c>
      <c r="Z199" s="9" t="n">
        <v>258.2</v>
      </c>
    </row>
    <row r="200">
      <c r="Y200" s="10" t="n">
        <v>45652</v>
      </c>
      <c r="Z200" s="9" t="n">
        <v>259.02</v>
      </c>
    </row>
    <row r="201">
      <c r="Y201" s="10" t="n">
        <v>45653</v>
      </c>
      <c r="Z201" s="9" t="n">
        <v>255.59</v>
      </c>
    </row>
    <row r="202">
      <c r="Y202" s="10" t="n">
        <v>45656</v>
      </c>
      <c r="Z202" s="9" t="n">
        <v>252.2</v>
      </c>
    </row>
    <row r="203">
      <c r="Y203" s="10" t="n">
        <v>45657</v>
      </c>
      <c r="Z203" s="9" t="n">
        <v>250.42</v>
      </c>
    </row>
    <row r="204">
      <c r="Y204" s="10" t="n">
        <v>45659</v>
      </c>
      <c r="Z204" s="9" t="n">
        <v>243.85</v>
      </c>
    </row>
    <row r="205">
      <c r="Y205" s="10" t="n">
        <v>45660</v>
      </c>
      <c r="Z205" s="9" t="n">
        <v>243.36</v>
      </c>
    </row>
    <row r="206">
      <c r="Y206" s="10" t="n">
        <v>45663</v>
      </c>
      <c r="Z206" s="9" t="n">
        <v>245</v>
      </c>
    </row>
    <row r="207">
      <c r="Y207" s="10" t="n">
        <v>45664</v>
      </c>
      <c r="Z207" s="9" t="n">
        <v>242.21</v>
      </c>
    </row>
    <row r="208">
      <c r="Y208" s="10" t="n">
        <v>45665</v>
      </c>
      <c r="Z208" s="9" t="n">
        <v>242.7</v>
      </c>
    </row>
    <row r="209">
      <c r="Y209" s="10" t="n">
        <v>45667</v>
      </c>
      <c r="Z209" s="9" t="n">
        <v>236.85</v>
      </c>
    </row>
    <row r="210">
      <c r="Y210" s="10" t="n">
        <v>45670</v>
      </c>
      <c r="Z210" s="9" t="n">
        <v>234.4</v>
      </c>
    </row>
    <row r="211">
      <c r="Y211" s="10" t="n">
        <v>45671</v>
      </c>
      <c r="Z211" s="9" t="n">
        <v>233.28</v>
      </c>
    </row>
    <row r="212">
      <c r="Y212" s="10" t="n">
        <v>45672</v>
      </c>
      <c r="Z212" s="9" t="n">
        <v>237.87</v>
      </c>
    </row>
    <row r="213">
      <c r="Y213" s="10" t="n">
        <v>45673</v>
      </c>
      <c r="Z213" s="9" t="n">
        <v>228.26</v>
      </c>
    </row>
    <row r="214">
      <c r="Y214" s="10" t="n">
        <v>45674</v>
      </c>
      <c r="Z214" s="9" t="n">
        <v>229.98</v>
      </c>
    </row>
    <row r="215">
      <c r="Y215" s="10" t="n">
        <v>45678</v>
      </c>
      <c r="Z215" s="9" t="n">
        <v>222.64</v>
      </c>
    </row>
    <row r="216">
      <c r="Y216" s="10" t="n">
        <v>45679</v>
      </c>
      <c r="Z216" s="9" t="n">
        <v>223.83</v>
      </c>
    </row>
    <row r="217">
      <c r="Y217" s="10" t="n">
        <v>45680</v>
      </c>
      <c r="Z217" s="9" t="n">
        <v>223.66</v>
      </c>
    </row>
    <row r="218">
      <c r="Y218" s="10" t="n">
        <v>45681</v>
      </c>
      <c r="Z218" s="9" t="n">
        <v>222.78</v>
      </c>
    </row>
    <row r="219">
      <c r="Y219" s="10" t="n">
        <v>45684</v>
      </c>
      <c r="Z219" s="9" t="n">
        <v>229.86</v>
      </c>
    </row>
    <row r="220">
      <c r="Y220" s="10" t="n">
        <v>45685</v>
      </c>
      <c r="Z220" s="9" t="n">
        <v>238.26</v>
      </c>
    </row>
    <row r="221">
      <c r="Y221" s="10" t="n">
        <v>45686</v>
      </c>
      <c r="Z221" s="9" t="n">
        <v>239.36</v>
      </c>
    </row>
    <row r="222">
      <c r="Y222" s="10" t="n">
        <v>45687</v>
      </c>
      <c r="Z222" s="9" t="n">
        <v>237.59</v>
      </c>
    </row>
    <row r="223">
      <c r="Y223" s="10" t="n">
        <v>45688</v>
      </c>
      <c r="Z223" s="9" t="n">
        <v>236</v>
      </c>
    </row>
    <row r="224">
      <c r="Y224" s="10" t="n">
        <v>45691</v>
      </c>
      <c r="Z224" s="9" t="n">
        <v>228.01</v>
      </c>
    </row>
    <row r="225">
      <c r="Y225" s="10" t="n">
        <v>45692</v>
      </c>
      <c r="Z225" s="9" t="n">
        <v>232.8</v>
      </c>
    </row>
    <row r="226">
      <c r="Y226" s="10" t="n">
        <v>45693</v>
      </c>
      <c r="Z226" s="9" t="n">
        <v>232.47</v>
      </c>
    </row>
    <row r="227">
      <c r="Y227" s="10" t="n">
        <v>45694</v>
      </c>
      <c r="Z227" s="9" t="n">
        <v>233.22</v>
      </c>
    </row>
    <row r="228">
      <c r="Y228" s="10" t="n">
        <v>45695</v>
      </c>
      <c r="Z228" s="9" t="n">
        <v>227.63</v>
      </c>
    </row>
    <row r="229">
      <c r="Y229" s="10" t="n">
        <v>45698</v>
      </c>
      <c r="Z229" s="9" t="n">
        <v>227.65</v>
      </c>
    </row>
    <row r="230">
      <c r="Y230" s="10" t="n">
        <v>45699</v>
      </c>
      <c r="Z230" s="9" t="n">
        <v>232.62</v>
      </c>
    </row>
    <row r="231">
      <c r="Y231" s="10" t="n">
        <v>45700</v>
      </c>
      <c r="Z231" s="9" t="n">
        <v>236.87</v>
      </c>
    </row>
    <row r="232">
      <c r="Y232" s="10" t="n">
        <v>45701</v>
      </c>
      <c r="Z232" s="9" t="n">
        <v>241.53</v>
      </c>
    </row>
    <row r="233">
      <c r="Y233" s="10" t="n">
        <v>45702</v>
      </c>
      <c r="Z233" s="9" t="n">
        <v>244.6</v>
      </c>
    </row>
    <row r="234">
      <c r="Y234" s="10" t="n">
        <v>45706</v>
      </c>
      <c r="Z234" s="9" t="n">
        <v>244.47</v>
      </c>
    </row>
    <row r="235">
      <c r="Y235" s="10" t="n">
        <v>45707</v>
      </c>
      <c r="Z235" s="9" t="n">
        <v>244.87</v>
      </c>
    </row>
    <row r="236">
      <c r="Y236" s="10" t="n">
        <v>45708</v>
      </c>
      <c r="Z236" s="9" t="n">
        <v>245.83</v>
      </c>
    </row>
    <row r="237">
      <c r="Y237" s="10" t="n">
        <v>45709</v>
      </c>
      <c r="Z237" s="9" t="n">
        <v>245.55</v>
      </c>
    </row>
    <row r="238">
      <c r="Y238" s="10" t="n">
        <v>45712</v>
      </c>
      <c r="Z238" s="9" t="n">
        <v>247.1</v>
      </c>
    </row>
    <row r="239">
      <c r="Y239" s="10" t="n">
        <v>45713</v>
      </c>
      <c r="Z239" s="9" t="n">
        <v>247.04</v>
      </c>
    </row>
    <row r="240">
      <c r="Y240" s="10" t="n">
        <v>45714</v>
      </c>
      <c r="Z240" s="9" t="n">
        <v>240.36</v>
      </c>
    </row>
    <row r="241">
      <c r="Y241" s="10" t="n">
        <v>45715</v>
      </c>
      <c r="Z241" s="9" t="n">
        <v>237.3</v>
      </c>
    </row>
    <row r="242">
      <c r="Y242" s="10" t="n">
        <v>45716</v>
      </c>
      <c r="Z242" s="9" t="n">
        <v>241.84</v>
      </c>
    </row>
    <row r="243">
      <c r="Y243" s="10" t="n">
        <v>45719</v>
      </c>
      <c r="Z243" s="9" t="n">
        <v>238.03</v>
      </c>
    </row>
    <row r="244">
      <c r="Y244" s="10" t="n">
        <v>45720</v>
      </c>
      <c r="Z244" s="9" t="n">
        <v>235.93</v>
      </c>
    </row>
    <row r="245">
      <c r="Y245" s="10" t="n">
        <v>45721</v>
      </c>
      <c r="Z245" s="9" t="n">
        <v>235.74</v>
      </c>
    </row>
    <row r="246">
      <c r="Y246" s="10" t="n">
        <v>45722</v>
      </c>
      <c r="Z246" s="9" t="n">
        <v>235.33</v>
      </c>
    </row>
    <row r="247">
      <c r="Y247" s="10" t="n">
        <v>45723</v>
      </c>
      <c r="Z247" s="9" t="n">
        <v>239.07</v>
      </c>
    </row>
    <row r="248">
      <c r="Y248" s="10" t="n">
        <v>45726</v>
      </c>
      <c r="Z248" s="9" t="n">
        <v>227.48</v>
      </c>
    </row>
    <row r="249">
      <c r="Y249" s="10" t="n">
        <v>45727</v>
      </c>
      <c r="Z249" s="9" t="n">
        <v>220.84</v>
      </c>
    </row>
    <row r="250">
      <c r="Y250" s="10" t="n">
        <v>45728</v>
      </c>
      <c r="Z250" s="9" t="n">
        <v>216.98</v>
      </c>
    </row>
    <row r="251">
      <c r="Y251" s="10" t="n">
        <v>45729</v>
      </c>
      <c r="Z251" s="9" t="n">
        <v>209.68</v>
      </c>
    </row>
    <row r="252">
      <c r="Y252" s="10" t="n">
        <v>45730</v>
      </c>
      <c r="Z252" s="9" t="n">
        <v>213.49</v>
      </c>
    </row>
    <row r="253">
      <c r="Y253" s="10" t="n">
        <v>45733</v>
      </c>
      <c r="Z253" s="9" t="n">
        <v>214</v>
      </c>
    </row>
    <row r="254">
      <c r="Y254" s="10" t="n">
        <v>45734</v>
      </c>
      <c r="Z254" s="9" t="n">
        <v>212.69</v>
      </c>
    </row>
    <row r="255">
      <c r="Y255" s="10" t="n">
        <v>45735</v>
      </c>
      <c r="Z255" s="9" t="n">
        <v>215.24</v>
      </c>
    </row>
    <row r="256">
      <c r="Y256" s="10" t="n">
        <v>45736</v>
      </c>
      <c r="Z256" s="9" t="n">
        <v>214.1</v>
      </c>
    </row>
    <row r="257">
      <c r="Y257" s="10" t="n">
        <v>45737</v>
      </c>
      <c r="Z257" s="9" t="n">
        <v>218.27</v>
      </c>
    </row>
    <row r="258">
      <c r="Y258" s="10" t="n">
        <v>45740</v>
      </c>
      <c r="Z258" s="9" t="n">
        <v>220.73</v>
      </c>
    </row>
    <row r="259">
      <c r="Y259" s="10" t="n">
        <v>45741</v>
      </c>
      <c r="Z259" s="9" t="n">
        <v>223.75</v>
      </c>
    </row>
    <row r="260">
      <c r="Y260" s="10" t="n">
        <v>45742</v>
      </c>
      <c r="Z260" s="9" t="n">
        <v>221.53</v>
      </c>
    </row>
    <row r="261">
      <c r="Y261" s="10" t="n">
        <v>45743</v>
      </c>
      <c r="Z261" s="9" t="n">
        <v>223.85</v>
      </c>
    </row>
    <row r="262">
      <c r="Y262" s="10" t="n">
        <v>45744</v>
      </c>
      <c r="Z262" s="9" t="n">
        <v>217.9</v>
      </c>
    </row>
    <row r="263">
      <c r="Y263" s="10" t="n">
        <v>45747</v>
      </c>
      <c r="Z263" s="9" t="n">
        <v>222.13</v>
      </c>
    </row>
    <row r="264">
      <c r="Y264" s="10" t="n">
        <v>45748</v>
      </c>
      <c r="Z264" s="9" t="n">
        <v>223.19</v>
      </c>
    </row>
    <row r="265">
      <c r="Y265" s="10" t="n">
        <v>45749</v>
      </c>
      <c r="Z265" s="9" t="n">
        <v>223.89</v>
      </c>
    </row>
    <row r="266">
      <c r="Y266" s="10" t="n">
        <v>45750</v>
      </c>
      <c r="Z266" s="9" t="n">
        <v>203.19</v>
      </c>
    </row>
    <row r="267">
      <c r="Y267" s="10" t="n">
        <v>45751</v>
      </c>
      <c r="Z267" s="9" t="n">
        <v>188.38</v>
      </c>
    </row>
    <row r="268">
      <c r="Y268" s="10" t="n">
        <v>45754</v>
      </c>
      <c r="Z268" s="9" t="n">
        <v>181.46</v>
      </c>
    </row>
    <row r="269">
      <c r="Y269" s="10" t="n">
        <v>45755</v>
      </c>
      <c r="Z269" s="9" t="n">
        <v>172.42</v>
      </c>
    </row>
    <row r="270">
      <c r="Y270" s="10" t="n">
        <v>45756</v>
      </c>
      <c r="Z270" s="9" t="n">
        <v>198.85</v>
      </c>
    </row>
    <row r="271">
      <c r="Y271" s="10" t="n">
        <v>45757</v>
      </c>
      <c r="Z271" s="9" t="n">
        <v>190.42</v>
      </c>
    </row>
    <row r="272">
      <c r="Y272" s="10" t="n">
        <v>45758</v>
      </c>
      <c r="Z272" s="9" t="n">
        <v>198.15</v>
      </c>
    </row>
    <row r="273">
      <c r="Y273" s="10" t="n">
        <v>45761</v>
      </c>
      <c r="Z273" s="9" t="n">
        <v>202.52</v>
      </c>
    </row>
    <row r="274">
      <c r="Y274" s="10" t="n">
        <v>45762</v>
      </c>
      <c r="Z274" s="9" t="n">
        <v>202.14</v>
      </c>
    </row>
    <row r="275">
      <c r="Y275" s="10" t="n">
        <v>45763</v>
      </c>
      <c r="Z275" s="9" t="n">
        <v>194.27</v>
      </c>
    </row>
    <row r="276">
      <c r="Y276" s="10" t="n">
        <v>45764</v>
      </c>
      <c r="Z276" s="9" t="n">
        <v>196.98</v>
      </c>
    </row>
    <row r="277">
      <c r="Y277" s="10" t="n">
        <v>45768</v>
      </c>
      <c r="Z277" s="9" t="n">
        <v>193.16</v>
      </c>
    </row>
    <row r="278">
      <c r="Y278" s="10" t="n">
        <v>45769</v>
      </c>
      <c r="Z278" s="9" t="n">
        <v>199.74</v>
      </c>
    </row>
    <row r="279">
      <c r="Y279" s="10" t="n">
        <v>45770</v>
      </c>
      <c r="Z279" s="9" t="n">
        <v>204.6</v>
      </c>
    </row>
    <row r="280">
      <c r="Y280" s="10" t="n">
        <v>45771</v>
      </c>
      <c r="Z280" s="9" t="n">
        <v>208.37</v>
      </c>
    </row>
    <row r="281">
      <c r="Y281" s="10" t="n">
        <v>45772</v>
      </c>
      <c r="Z281" s="9" t="n">
        <v>209.28</v>
      </c>
    </row>
    <row r="282">
      <c r="Y282" s="10" t="n">
        <v>45775</v>
      </c>
      <c r="Z282" s="9" t="n">
        <v>210.14</v>
      </c>
    </row>
    <row r="283">
      <c r="Y283" s="10" t="n">
        <v>45776</v>
      </c>
      <c r="Z283" s="9" t="n">
        <v>211.21</v>
      </c>
    </row>
    <row r="284">
      <c r="Y284" s="10" t="n">
        <v>45777</v>
      </c>
      <c r="Z284" s="9" t="n">
        <v>212.5</v>
      </c>
    </row>
    <row r="285">
      <c r="Y285" s="10" t="n">
        <v>45778</v>
      </c>
      <c r="Z285" s="9" t="n">
        <v>213.32</v>
      </c>
    </row>
    <row r="286">
      <c r="Y286" s="10" t="n">
        <v>45779</v>
      </c>
      <c r="Z286" s="9" t="n">
        <v>205.35</v>
      </c>
    </row>
    <row r="287">
      <c r="Y287" s="10" t="n">
        <v>45782</v>
      </c>
      <c r="Z287" s="9" t="n">
        <v>198.89</v>
      </c>
    </row>
    <row r="288">
      <c r="Y288" s="10" t="n">
        <v>45783</v>
      </c>
      <c r="Z288" s="9" t="n">
        <v>198.51</v>
      </c>
    </row>
    <row r="289">
      <c r="Y289" s="10" t="n">
        <v>45784</v>
      </c>
      <c r="Z289" s="9" t="n">
        <v>196.25</v>
      </c>
    </row>
    <row r="290">
      <c r="Y290" s="10" t="n">
        <v>45785</v>
      </c>
      <c r="Z290" s="9" t="n">
        <v>197.49</v>
      </c>
    </row>
    <row r="291">
      <c r="Y291" s="10" t="n">
        <v>45786</v>
      </c>
      <c r="Z291" s="9" t="n">
        <v>198.53</v>
      </c>
    </row>
    <row r="292">
      <c r="Y292" s="10" t="n">
        <v>45789</v>
      </c>
      <c r="Z292" s="9" t="n">
        <v>210.79</v>
      </c>
    </row>
    <row r="293">
      <c r="Y293" s="10" t="n">
        <v>45790</v>
      </c>
      <c r="Z293" s="9" t="n">
        <v>212.93</v>
      </c>
    </row>
    <row r="294">
      <c r="Y294" s="10" t="n">
        <v>45791</v>
      </c>
      <c r="Z294" s="9" t="n">
        <v>212.33</v>
      </c>
    </row>
    <row r="295">
      <c r="Y295" s="10" t="n">
        <v>45792</v>
      </c>
      <c r="Z295" s="9" t="n">
        <v>211.45</v>
      </c>
    </row>
    <row r="296">
      <c r="Y296" s="10" t="n">
        <v>45793</v>
      </c>
      <c r="Z296" s="9" t="n">
        <v>211.26</v>
      </c>
    </row>
    <row r="297">
      <c r="Y297" s="10" t="n">
        <v>45796</v>
      </c>
      <c r="Z297" s="9" t="n">
        <v>208.78</v>
      </c>
    </row>
    <row r="298">
      <c r="Y298" s="10" t="n">
        <v>45797</v>
      </c>
      <c r="Z298" s="9" t="n">
        <v>206.86</v>
      </c>
    </row>
    <row r="299">
      <c r="Y299" s="10" t="n">
        <v>45798</v>
      </c>
      <c r="Z299" s="9" t="n">
        <v>202.09</v>
      </c>
    </row>
    <row r="300">
      <c r="Y300" s="10" t="n">
        <v>45799</v>
      </c>
      <c r="Z300" s="9" t="n">
        <v>201.36</v>
      </c>
    </row>
    <row r="301">
      <c r="Y301" s="10" t="n">
        <v>45800</v>
      </c>
      <c r="Z301" s="9" t="n">
        <v>195.27</v>
      </c>
    </row>
    <row r="302">
      <c r="Y302" s="10" t="n">
        <v>45804</v>
      </c>
      <c r="Z302" s="9" t="n">
        <v>200.21</v>
      </c>
    </row>
    <row r="303">
      <c r="Y303" s="10" t="n">
        <v>45805</v>
      </c>
      <c r="Z303" s="9" t="n">
        <v>200.42</v>
      </c>
    </row>
    <row r="304">
      <c r="Y304" s="10" t="n">
        <v>45806</v>
      </c>
      <c r="Z304" s="9" t="n">
        <v>199.95</v>
      </c>
    </row>
    <row r="305">
      <c r="Y305" s="10" t="n">
        <v>45807</v>
      </c>
      <c r="Z305" s="9" t="n">
        <v>200.85</v>
      </c>
    </row>
    <row r="306">
      <c r="Y306" s="10" t="n">
        <v>45810</v>
      </c>
      <c r="Z306" s="9" t="n">
        <v>201.7</v>
      </c>
    </row>
    <row r="307">
      <c r="Y307" s="10" t="n">
        <v>45811</v>
      </c>
      <c r="Z307" s="9" t="n">
        <v>203.27</v>
      </c>
    </row>
    <row r="308">
      <c r="Y308" s="10" t="n">
        <v>45812</v>
      </c>
      <c r="Z308" s="9" t="n">
        <v>202.82</v>
      </c>
    </row>
    <row r="309">
      <c r="Y309" s="10" t="n">
        <v>45813</v>
      </c>
      <c r="Z309" s="9" t="n">
        <v>200.63</v>
      </c>
    </row>
    <row r="310">
      <c r="Y310" s="10" t="n">
        <v>45814</v>
      </c>
      <c r="Z310" s="9" t="n">
        <v>203.92</v>
      </c>
    </row>
    <row r="311">
      <c r="Y311" s="10" t="n">
        <v>45817</v>
      </c>
      <c r="Z311" s="9" t="n">
        <v>201.45</v>
      </c>
    </row>
    <row r="312">
      <c r="Y312" s="10" t="n">
        <v>45818</v>
      </c>
      <c r="Z312" s="9" t="n">
        <v>202.67</v>
      </c>
    </row>
    <row r="313">
      <c r="Y313" s="10" t="n">
        <v>45819</v>
      </c>
      <c r="Z313" s="9" t="n">
        <v>198.78</v>
      </c>
    </row>
    <row r="314">
      <c r="Y314" s="10" t="n">
        <v>45820</v>
      </c>
      <c r="Z314" s="9" t="n">
        <v>199.2</v>
      </c>
    </row>
    <row r="315">
      <c r="Y315" s="10" t="n">
        <v>45821</v>
      </c>
      <c r="Z315" s="9" t="n">
        <v>196.45</v>
      </c>
    </row>
    <row r="316">
      <c r="Y316" s="10" t="n">
        <v>45824</v>
      </c>
      <c r="Z316" s="9" t="n">
        <v>198.42</v>
      </c>
    </row>
    <row r="317">
      <c r="Y317" s="10" t="n">
        <v>45825</v>
      </c>
      <c r="Z317" s="9" t="n">
        <v>195.64</v>
      </c>
    </row>
    <row r="318">
      <c r="Y318" s="10" t="n">
        <v>45826</v>
      </c>
      <c r="Z318" s="9" t="n">
        <v>196.58</v>
      </c>
    </row>
    <row r="319">
      <c r="Y319" s="10" t="n">
        <v>45828</v>
      </c>
      <c r="Z319" s="9" t="n">
        <v>201</v>
      </c>
    </row>
    <row r="320">
      <c r="Y320" s="10" t="n">
        <v>45831</v>
      </c>
      <c r="Z320" s="9" t="n">
        <v>201.5</v>
      </c>
    </row>
    <row r="321">
      <c r="Y321" s="10" t="n">
        <v>45832</v>
      </c>
      <c r="Z321" s="9" t="n">
        <v>200.3</v>
      </c>
    </row>
    <row r="322">
      <c r="Y322" s="10" t="n">
        <v>45833</v>
      </c>
      <c r="Z322" s="9" t="n">
        <v>201.56</v>
      </c>
    </row>
    <row r="323">
      <c r="Y323" s="10" t="n">
        <v>45834</v>
      </c>
      <c r="Z323" s="9" t="n">
        <v>201</v>
      </c>
    </row>
    <row r="324">
      <c r="Y324" s="10" t="n">
        <v>45835</v>
      </c>
      <c r="Z324" s="9" t="n">
        <v>201.08</v>
      </c>
    </row>
    <row r="325">
      <c r="Y325" s="10" t="n">
        <v>45838</v>
      </c>
      <c r="Z325" s="9" t="n">
        <v>205.17</v>
      </c>
    </row>
    <row r="326">
      <c r="Y326" s="10" t="n">
        <v>45839</v>
      </c>
      <c r="Z326" s="9" t="n">
        <v>207.82</v>
      </c>
    </row>
    <row r="327">
      <c r="Y327" s="10" t="n">
        <v>45840</v>
      </c>
      <c r="Z327" s="9" t="n">
        <v>212.44</v>
      </c>
    </row>
    <row r="328">
      <c r="Y328" s="10" t="n">
        <v>45841</v>
      </c>
      <c r="Z328" s="9" t="n">
        <v>213.55</v>
      </c>
    </row>
    <row r="329">
      <c r="Y329" s="10" t="n">
        <v>45845</v>
      </c>
      <c r="Z329" s="9" t="n">
        <v>209.95</v>
      </c>
    </row>
    <row r="330">
      <c r="Y330" s="10" t="n">
        <v>45846</v>
      </c>
      <c r="Z330" s="9" t="n">
        <v>210.01</v>
      </c>
    </row>
    <row r="331">
      <c r="Y331" s="10" t="n">
        <v>45847</v>
      </c>
      <c r="Z331" s="9" t="n">
        <v>211.14</v>
      </c>
    </row>
    <row r="332">
      <c r="Y332" s="10" t="n">
        <v>45848</v>
      </c>
      <c r="Z332" s="9" t="n">
        <v>212.41</v>
      </c>
    </row>
    <row r="333">
      <c r="Y333" s="10" t="n">
        <v>45849</v>
      </c>
      <c r="Z333" s="9" t="n">
        <v>211.16</v>
      </c>
    </row>
    <row r="334">
      <c r="Y334" s="10" t="n">
        <v>45852</v>
      </c>
      <c r="Z334" s="9" t="n">
        <v>208.62</v>
      </c>
    </row>
    <row r="335">
      <c r="Y335" s="10" t="n">
        <v>45853</v>
      </c>
      <c r="Z335" s="9" t="n">
        <v>209.11</v>
      </c>
    </row>
    <row r="336">
      <c r="Y336" s="10" t="n">
        <v>45854</v>
      </c>
      <c r="Z336" s="9" t="n">
        <v>210.16</v>
      </c>
    </row>
    <row r="337">
      <c r="Y337" s="10" t="n">
        <v>45855</v>
      </c>
      <c r="Z337" s="9" t="n">
        <v>210.02</v>
      </c>
    </row>
    <row r="338">
      <c r="Y338" s="10" t="n">
        <v>45856</v>
      </c>
      <c r="Z338" s="9" t="n">
        <v>211.18</v>
      </c>
    </row>
    <row r="339">
      <c r="Y339" s="10" t="n">
        <v>45859</v>
      </c>
      <c r="Z339" s="9" t="n">
        <v>212.48</v>
      </c>
    </row>
    <row r="340">
      <c r="Y340" s="10" t="n">
        <v>45860</v>
      </c>
      <c r="Z340" s="9" t="n">
        <v>214.4</v>
      </c>
    </row>
    <row r="341">
      <c r="Y341" s="10" t="n">
        <v>45861</v>
      </c>
      <c r="Z341" s="9" t="n">
        <v>214.15</v>
      </c>
    </row>
    <row r="342">
      <c r="Y342" s="10" t="n">
        <v>45862</v>
      </c>
      <c r="Z342" s="9" t="n">
        <v>213.76</v>
      </c>
    </row>
    <row r="343">
      <c r="Y343" s="10" t="n">
        <v>45863</v>
      </c>
      <c r="Z343" s="9" t="n">
        <v>213.88</v>
      </c>
    </row>
    <row r="344">
      <c r="Y344" s="10" t="n">
        <v>45866</v>
      </c>
      <c r="Z344" s="9" t="n">
        <v>214.05</v>
      </c>
    </row>
    <row r="345">
      <c r="Y345" s="10" t="n">
        <v>45867</v>
      </c>
      <c r="Z345" s="9" t="n">
        <v>211.27</v>
      </c>
    </row>
    <row r="346">
      <c r="Y346" s="10" t="n">
        <v>45868</v>
      </c>
      <c r="Z346" s="9" t="n">
        <v>209.05</v>
      </c>
    </row>
    <row r="347">
      <c r="Y347" s="10" t="n">
        <v>45869</v>
      </c>
      <c r="Z347" s="9" t="n">
        <v>207.57</v>
      </c>
    </row>
    <row r="348">
      <c r="Y348" s="10" t="n">
        <v>45870</v>
      </c>
      <c r="Z348" s="9" t="n">
        <v>202.38</v>
      </c>
    </row>
    <row r="349">
      <c r="Y349" s="10" t="n">
        <v>45873</v>
      </c>
      <c r="Z349" s="9" t="n">
        <v>203.35</v>
      </c>
    </row>
    <row r="350">
      <c r="Y350" s="10" t="n">
        <v>45874</v>
      </c>
      <c r="Z350" s="9" t="n">
        <v>202.92</v>
      </c>
    </row>
    <row r="351">
      <c r="Y351" s="10" t="n">
        <v>45875</v>
      </c>
      <c r="Z351" s="9" t="n">
        <v>213.25</v>
      </c>
    </row>
    <row r="352">
      <c r="Y352" s="10" t="n">
        <v>45876</v>
      </c>
      <c r="Z352" s="9" t="n">
        <v>220.03</v>
      </c>
    </row>
    <row r="353">
      <c r="Y353" s="10" t="n">
        <v>45877</v>
      </c>
      <c r="Z353" s="9" t="n">
        <v>229.35</v>
      </c>
    </row>
    <row r="354">
      <c r="Y354" s="10" t="n">
        <v>45880</v>
      </c>
      <c r="Z354" s="9" t="n">
        <v>227.18</v>
      </c>
    </row>
    <row r="355">
      <c r="Y355" s="10" t="n">
        <v>45881</v>
      </c>
      <c r="Z355" s="9" t="n">
        <v>229.65</v>
      </c>
    </row>
    <row r="356">
      <c r="Y356" s="10" t="n">
        <v>45882</v>
      </c>
      <c r="Z356" s="9" t="n">
        <v>233.33</v>
      </c>
    </row>
    <row r="357">
      <c r="Y357" s="10" t="n">
        <v>45883</v>
      </c>
      <c r="Z357" s="9" t="n">
        <v>232.78</v>
      </c>
    </row>
    <row r="358">
      <c r="Y358" s="10" t="n">
        <v>45884</v>
      </c>
      <c r="Z358" s="9" t="n">
        <v>231.59</v>
      </c>
    </row>
    <row r="359">
      <c r="Y359" s="10" t="n">
        <v>45887</v>
      </c>
      <c r="Z359" s="9" t="n">
        <v>230.89</v>
      </c>
    </row>
    <row r="360">
      <c r="Y360" s="10" t="n">
        <v>45888</v>
      </c>
      <c r="Z360" s="9" t="n">
        <v>230.56</v>
      </c>
    </row>
    <row r="361">
      <c r="Y361" s="10" t="n">
        <v>45889</v>
      </c>
      <c r="Z361" s="9" t="n">
        <v>226.01</v>
      </c>
    </row>
    <row r="362">
      <c r="Y362" s="10" t="n">
        <v>45890</v>
      </c>
      <c r="Z362" s="9" t="n">
        <v>224.9</v>
      </c>
    </row>
    <row r="363">
      <c r="Y363" s="10" t="n">
        <v>45891</v>
      </c>
      <c r="Z363" s="9" t="n">
        <v>227.76</v>
      </c>
    </row>
    <row r="364">
      <c r="Y364" s="10" t="n">
        <v>45894</v>
      </c>
      <c r="Z364" s="9" t="n">
        <v>227.16</v>
      </c>
    </row>
    <row r="365">
      <c r="Y365" s="10" t="n">
        <v>45895</v>
      </c>
      <c r="Z365" s="9" t="n">
        <v>229.31</v>
      </c>
    </row>
    <row r="366">
      <c r="Y366" s="10" t="n">
        <v>45896</v>
      </c>
      <c r="Z366" s="9" t="n">
        <v>230.49</v>
      </c>
    </row>
    <row r="367">
      <c r="Y367" s="10" t="n">
        <v>45897</v>
      </c>
      <c r="Z367" s="9" t="n">
        <v>232.56</v>
      </c>
    </row>
    <row r="368">
      <c r="Y368" s="10" t="n">
        <v>45898</v>
      </c>
      <c r="Z368" s="9" t="n">
        <v>232.14</v>
      </c>
    </row>
    <row r="369">
      <c r="Y369" s="10" t="n">
        <v>45902</v>
      </c>
      <c r="Z369" s="9" t="n">
        <v>229.72</v>
      </c>
    </row>
    <row r="370">
      <c r="Y370" s="10" t="n">
        <v>45903</v>
      </c>
      <c r="Z370" s="9" t="n">
        <v>238.47</v>
      </c>
    </row>
    <row r="371">
      <c r="Y371" s="10" t="n">
        <v>45904</v>
      </c>
      <c r="Z371" s="9" t="n">
        <v>239.78</v>
      </c>
    </row>
    <row r="372">
      <c r="Y372" s="10" t="n">
        <v>45905</v>
      </c>
      <c r="Z372" s="9" t="n">
        <v>239.69</v>
      </c>
    </row>
    <row r="373">
      <c r="Y373" s="10" t="n">
        <v>45908</v>
      </c>
      <c r="Z373" s="9" t="n">
        <v>237.88</v>
      </c>
    </row>
    <row r="374">
      <c r="Y374" s="10" t="n">
        <v>45909</v>
      </c>
      <c r="Z374" s="9" t="n">
        <v>234.35</v>
      </c>
    </row>
    <row r="375">
      <c r="Y375" s="10" t="n">
        <v>45910</v>
      </c>
      <c r="Z375" s="9" t="n">
        <v>226.79</v>
      </c>
    </row>
    <row r="376">
      <c r="Y376" s="10" t="n">
        <v>45911</v>
      </c>
      <c r="Z376" s="9" t="n">
        <v>230.03</v>
      </c>
    </row>
    <row r="377">
      <c r="Y377" s="10" t="n">
        <v>45912</v>
      </c>
      <c r="Z377" s="9" t="n">
        <v>234.07</v>
      </c>
    </row>
    <row r="378">
      <c r="Y378" s="10" t="n">
        <v>45915</v>
      </c>
      <c r="Z378" s="9" t="n">
        <v>236.7</v>
      </c>
    </row>
    <row r="379">
      <c r="Y379" s="10" t="n">
        <v>45916</v>
      </c>
      <c r="Z379" s="9" t="n">
        <v>238.15</v>
      </c>
    </row>
    <row r="380">
      <c r="Y380" s="10" t="n">
        <v>45917</v>
      </c>
      <c r="Z380" s="9" t="n">
        <v>238.99</v>
      </c>
    </row>
    <row r="381">
      <c r="Y381" s="10" t="n">
        <v>45918</v>
      </c>
      <c r="Z381" s="9" t="n">
        <v>237.88</v>
      </c>
    </row>
    <row r="382">
      <c r="Y382" s="10" t="n">
        <v>45919</v>
      </c>
      <c r="Z382" s="9" t="n">
        <v>245.5</v>
      </c>
    </row>
    <row r="383">
      <c r="Y383" s="10" t="n">
        <v>45922</v>
      </c>
      <c r="Z383" s="9" t="n">
        <v>256.08</v>
      </c>
    </row>
    <row r="384">
      <c r="Y384" s="10" t="n">
        <v>45923</v>
      </c>
      <c r="Z384" s="9" t="n">
        <v>254.43</v>
      </c>
    </row>
    <row r="385">
      <c r="Y385" s="10" t="n">
        <v>45924</v>
      </c>
      <c r="Z385" s="9" t="n">
        <v>252.31</v>
      </c>
    </row>
    <row r="386">
      <c r="Y386" s="10" t="n">
        <v>45925</v>
      </c>
      <c r="Z386" s="9" t="n">
        <v>256.87</v>
      </c>
    </row>
    <row r="387">
      <c r="Y387" s="10" t="n">
        <v>45926</v>
      </c>
      <c r="Z387" s="9" t="n">
        <v>255.46</v>
      </c>
    </row>
    <row r="388">
      <c r="Y388" s="10" t="n">
        <v>45929</v>
      </c>
      <c r="Z388" s="9" t="n">
        <v>254.43</v>
      </c>
    </row>
    <row r="389">
      <c r="Y389" s="10" t="n">
        <v>45930</v>
      </c>
      <c r="Z389" s="9" t="n">
        <v>254.63</v>
      </c>
    </row>
    <row r="390">
      <c r="Y390" s="10" t="n">
        <v>45931</v>
      </c>
      <c r="Z390" s="9" t="n">
        <v>255.45</v>
      </c>
    </row>
    <row r="391">
      <c r="Y391" s="10" t="n">
        <v>45932</v>
      </c>
      <c r="Z391" s="9" t="n">
        <v>257.13</v>
      </c>
    </row>
    <row r="392">
      <c r="Y392" s="10" t="n">
        <v>45933</v>
      </c>
      <c r="Z392" s="9" t="n">
        <v>258.02</v>
      </c>
    </row>
    <row r="393">
      <c r="Y393" s="10" t="n">
        <v>45936</v>
      </c>
      <c r="Z393" s="9" t="n">
        <v>256.69</v>
      </c>
    </row>
    <row r="394">
      <c r="Y394" s="10" t="n">
        <v>45937</v>
      </c>
      <c r="Z394" s="9" t="n">
        <v>256.48</v>
      </c>
    </row>
    <row r="395">
      <c r="Y395" s="10" t="n">
        <v>45938</v>
      </c>
      <c r="Z395" s="9" t="n">
        <v>258.06</v>
      </c>
    </row>
    <row r="396">
      <c r="Y396" s="10" t="n">
        <v>45939</v>
      </c>
      <c r="Z396" s="9" t="n">
        <v>254.04</v>
      </c>
    </row>
    <row r="397">
      <c r="Y397" s="10" t="n">
        <v>45940</v>
      </c>
      <c r="Z397" s="9" t="n">
        <v>245.27</v>
      </c>
    </row>
    <row r="398">
      <c r="Y398" s="10" t="n">
        <v>45943</v>
      </c>
      <c r="Z398" s="9" t="n">
        <v>247.66</v>
      </c>
    </row>
    <row r="399">
      <c r="Y399" s="10" t="n">
        <v>45944</v>
      </c>
      <c r="Z399" s="9" t="n">
        <v>247.77</v>
      </c>
    </row>
    <row r="400">
      <c r="Y400" s="10" t="n">
        <v>45945</v>
      </c>
      <c r="Z400" s="9" t="n">
        <v>249.34</v>
      </c>
    </row>
    <row r="401">
      <c r="Y401" s="10" t="n">
        <v>45946</v>
      </c>
      <c r="Z401" s="9" t="n">
        <v>247.45</v>
      </c>
    </row>
    <row r="402">
      <c r="Y402" s="10" t="n">
        <v>45947</v>
      </c>
      <c r="Z402" s="9" t="n">
        <v>252.29</v>
      </c>
    </row>
    <row r="403">
      <c r="Y403" s="10" t="n">
        <v>45950</v>
      </c>
      <c r="Z403" s="9" t="n">
        <v>262.24</v>
      </c>
    </row>
    <row r="404">
      <c r="Y404" s="10" t="n">
        <v>45951</v>
      </c>
      <c r="Z404" s="9" t="n">
        <v>262.77</v>
      </c>
    </row>
    <row r="405">
      <c r="Y405" s="10" t="n">
        <v>45952</v>
      </c>
      <c r="Z405" s="9" t="n">
        <v>258.45</v>
      </c>
    </row>
    <row r="406">
      <c r="Y406" s="10" t="n">
        <v>45953</v>
      </c>
      <c r="Z406" s="9" t="n">
        <v>259.58</v>
      </c>
    </row>
    <row r="407">
      <c r="Y407" s="10" t="n">
        <v>45954</v>
      </c>
      <c r="Z407" s="9" t="n">
        <v>262.82</v>
      </c>
    </row>
    <row r="408">
      <c r="Y408" s="10" t="n">
        <v>45957</v>
      </c>
      <c r="Z408" s="9" t="n">
        <v>268.81</v>
      </c>
    </row>
    <row r="409">
      <c r="Y409" s="10" t="n">
        <v>45958</v>
      </c>
      <c r="Z409" s="9" t="n">
        <v>269</v>
      </c>
    </row>
    <row r="410">
      <c r="Y410" s="10" t="n">
        <v>45959</v>
      </c>
      <c r="Z410" s="9" t="n">
        <v>269.7</v>
      </c>
    </row>
    <row r="411">
      <c r="Y411" s="10" t="n">
        <v>45960</v>
      </c>
      <c r="Z411" s="9" t="n">
        <v>271.4</v>
      </c>
    </row>
    <row r="412">
      <c r="Y412" s="10" t="n">
        <v>45961</v>
      </c>
      <c r="Z412" s="9" t="n">
        <v>270.37</v>
      </c>
    </row>
    <row r="413">
      <c r="Y413" s="10" t="n">
        <v>45964</v>
      </c>
      <c r="Z413" s="9" t="n">
        <v>269.05</v>
      </c>
    </row>
    <row r="414">
      <c r="Y414" s="10" t="n">
        <v>45965</v>
      </c>
      <c r="Z414" s="9" t="n">
        <v>270.04</v>
      </c>
    </row>
    <row r="415">
      <c r="Y415" s="10" t="n">
        <v>45966</v>
      </c>
      <c r="Z415" s="9" t="n">
        <v>270.14</v>
      </c>
    </row>
    <row r="416">
      <c r="Y416" s="10" t="n">
        <v>45967</v>
      </c>
      <c r="Z416" s="9" t="n">
        <v>269.77</v>
      </c>
    </row>
    <row r="417">
      <c r="Y417" s="10" t="n">
        <v>45968</v>
      </c>
      <c r="Z417" s="9" t="n">
        <v>268.47</v>
      </c>
    </row>
    <row r="418">
      <c r="Y418" s="10" t="n">
        <v>45971</v>
      </c>
      <c r="Z418" s="9" t="n">
        <v>269.43</v>
      </c>
    </row>
    <row r="419">
      <c r="Y419" s="10" t="n">
        <v>45972</v>
      </c>
      <c r="Z419" s="9" t="n">
        <v>275.25</v>
      </c>
    </row>
    <row r="420">
      <c r="Y420" s="10" t="n">
        <v>45973</v>
      </c>
      <c r="Z420" s="9" t="n">
        <v>273.47</v>
      </c>
    </row>
    <row r="421">
      <c r="Y421" s="10" t="n">
        <v>45974</v>
      </c>
      <c r="Z421" s="9" t="n">
        <v>272.95</v>
      </c>
    </row>
    <row r="422">
      <c r="Y422" s="10" t="n">
        <v>45975</v>
      </c>
      <c r="Z422" s="9" t="n">
        <v>272.41</v>
      </c>
    </row>
    <row r="423">
      <c r="Y423" s="10" t="n">
        <v>45978</v>
      </c>
      <c r="Z423" s="9" t="n">
        <v>267.46</v>
      </c>
    </row>
    <row r="424">
      <c r="Y424" s="10" t="n">
        <v>45979</v>
      </c>
      <c r="Z424" s="9" t="n">
        <v>267.44</v>
      </c>
    </row>
    <row r="425">
      <c r="Y425" s="10" t="n">
        <v>45980</v>
      </c>
      <c r="Z425" s="9" t="n">
        <v>268.56</v>
      </c>
    </row>
    <row r="426">
      <c r="Y426" s="10" t="n">
        <v>45981</v>
      </c>
      <c r="Z426" s="9" t="n">
        <v>266.25</v>
      </c>
    </row>
    <row r="427">
      <c r="Y427" s="10" t="n">
        <v>45982</v>
      </c>
      <c r="Z427" s="9" t="n">
        <v>271.49</v>
      </c>
    </row>
    <row r="428">
      <c r="Y428" s="10" t="n">
        <v>45985</v>
      </c>
      <c r="Z428" s="9" t="n">
        <v>275.92</v>
      </c>
    </row>
    <row r="429">
      <c r="Y429" s="10" t="n">
        <v>45986</v>
      </c>
      <c r="Z429" s="9" t="n">
        <v>276.97</v>
      </c>
    </row>
    <row r="430">
      <c r="Y430" s="10" t="n">
        <v>45987</v>
      </c>
      <c r="Z430" s="9" t="n">
        <v>277.55</v>
      </c>
    </row>
    <row r="431">
      <c r="Y431" s="10" t="n">
        <v>45989</v>
      </c>
      <c r="Z431" s="9" t="n">
        <v>278.85</v>
      </c>
    </row>
    <row r="432">
      <c r="Y432" s="10" t="n">
        <v>45992</v>
      </c>
      <c r="Z432" s="9" t="n">
        <v>283.1</v>
      </c>
    </row>
    <row r="433">
      <c r="Y433" s="10" t="n">
        <v>45993</v>
      </c>
      <c r="Z433" s="9" t="n">
        <v>286.19</v>
      </c>
    </row>
    <row r="434">
      <c r="Y434" s="10" t="n">
        <v>45994</v>
      </c>
      <c r="Z434" s="9" t="n">
        <v>284.15</v>
      </c>
    </row>
    <row r="435">
      <c r="Y435" s="10" t="n">
        <v>45995</v>
      </c>
      <c r="Z435" s="9" t="n">
        <v>280.7</v>
      </c>
    </row>
    <row r="436">
      <c r="Y436" s="10" t="n">
        <v>45996</v>
      </c>
      <c r="Z436" s="9" t="n">
        <v>278.78</v>
      </c>
    </row>
    <row r="437">
      <c r="Y437" s="10" t="n">
        <v>45999</v>
      </c>
      <c r="Z437" s="9" t="n">
        <v>277.89</v>
      </c>
    </row>
    <row r="438">
      <c r="Y438" s="10" t="n">
        <v>46000</v>
      </c>
      <c r="Z438" s="9" t="n">
        <v>277.18</v>
      </c>
    </row>
    <row r="439">
      <c r="Y439" s="10" t="n">
        <v>46001</v>
      </c>
      <c r="Z439" s="9" t="n">
        <v>278.78</v>
      </c>
    </row>
    <row r="440">
      <c r="Y440" s="10" t="n">
        <v>46002</v>
      </c>
      <c r="Z440" s="9" t="n">
        <v>278.03</v>
      </c>
    </row>
    <row r="441">
      <c r="Y441" s="10" t="n">
        <v>46003</v>
      </c>
      <c r="Z441" s="9" t="n">
        <v>278.28</v>
      </c>
    </row>
    <row r="442">
      <c r="Y442" s="10" t="n">
        <v>46006</v>
      </c>
      <c r="Z442" s="9" t="n">
        <v>274.11</v>
      </c>
    </row>
    <row r="443">
      <c r="Y443" s="10" t="n">
        <v>46007</v>
      </c>
      <c r="Z443" s="9" t="n">
        <v>274.61</v>
      </c>
    </row>
    <row r="444">
      <c r="Y444" s="10" t="n">
        <v>46008</v>
      </c>
      <c r="Z444" s="9" t="n">
        <v>271.84</v>
      </c>
    </row>
    <row r="445">
      <c r="Y445" s="10" t="n">
        <v>46009</v>
      </c>
      <c r="Z445" s="9" t="n">
        <v>272.19</v>
      </c>
    </row>
    <row r="446">
      <c r="Y446" s="10" t="n">
        <v>46010</v>
      </c>
      <c r="Z446" s="9" t="n">
        <v>273.67</v>
      </c>
    </row>
    <row r="447">
      <c r="Y447" s="10" t="n">
        <v>46013</v>
      </c>
      <c r="Z447" s="9" t="n">
        <v>270.97</v>
      </c>
    </row>
    <row r="448">
      <c r="Y448" s="10" t="n">
        <v>46014</v>
      </c>
      <c r="Z448" s="9" t="n">
        <v>272.36</v>
      </c>
    </row>
    <row r="449">
      <c r="Y449" s="10" t="n">
        <v>46015</v>
      </c>
      <c r="Z449" s="9" t="n">
        <v>273.81</v>
      </c>
    </row>
    <row r="450">
      <c r="Y450" s="10" t="n">
        <v>46017</v>
      </c>
      <c r="Z450" s="9" t="n">
        <v>273.4</v>
      </c>
    </row>
    <row r="451">
      <c r="Y451" s="10" t="n">
        <v>46020</v>
      </c>
      <c r="Z451" s="9" t="n">
        <v>273.76</v>
      </c>
    </row>
    <row r="452">
      <c r="Y452" s="10" t="n">
        <v>46021</v>
      </c>
      <c r="Z452" s="9" t="n">
        <v>273.08</v>
      </c>
    </row>
    <row r="453">
      <c r="Y453" s="10" t="n">
        <v>46022</v>
      </c>
      <c r="Z453" s="9" t="n">
        <v>271.86</v>
      </c>
    </row>
    <row r="454">
      <c r="Y454" s="10" t="n">
        <v>46024</v>
      </c>
      <c r="Z454" s="9" t="n">
        <v>271.01</v>
      </c>
    </row>
    <row r="455">
      <c r="Y455" s="10" t="n">
        <v>46027</v>
      </c>
      <c r="Z455" s="9" t="n">
        <v>267.26</v>
      </c>
    </row>
    <row r="456">
      <c r="Y456" s="10" t="n">
        <v>46028</v>
      </c>
      <c r="Z456" s="9" t="n">
        <v>262.36</v>
      </c>
    </row>
    <row r="457">
      <c r="Y457" s="10" t="n">
        <v>46029</v>
      </c>
      <c r="Z457" s="9" t="n">
        <v>260.33</v>
      </c>
    </row>
    <row r="458">
      <c r="Y458" s="10" t="n">
        <v>46030</v>
      </c>
      <c r="Z458" s="9" t="n">
        <v>259.04</v>
      </c>
    </row>
    <row r="459">
      <c r="Y459" s="10" t="n">
        <v>46031</v>
      </c>
      <c r="Z459" s="9" t="n">
        <v>259.37</v>
      </c>
    </row>
    <row r="460">
      <c r="Y460" s="10" t="n">
        <v>46034</v>
      </c>
      <c r="Z460" s="9" t="n">
        <v>260.25</v>
      </c>
    </row>
    <row r="461">
      <c r="Y461" s="10" t="n">
        <v>46035</v>
      </c>
      <c r="Z461" s="9" t="n">
        <v>261.05</v>
      </c>
    </row>
    <row r="462">
      <c r="Y462" s="10" t="n">
        <v>46036</v>
      </c>
      <c r="Z462" s="9" t="n">
        <v>259.96</v>
      </c>
    </row>
    <row r="463">
      <c r="Y463" s="10" t="n">
        <v>46037</v>
      </c>
      <c r="Z463" s="9" t="n">
        <v>258.21</v>
      </c>
    </row>
    <row r="464">
      <c r="Y464" s="10" t="n">
        <v>46038</v>
      </c>
      <c r="Z464" s="9" t="n">
        <v>255.53</v>
      </c>
    </row>
    <row r="465">
      <c r="Y465" s="10" t="n">
        <v>46042</v>
      </c>
      <c r="Z465" s="9" t="n">
        <v>246.7</v>
      </c>
    </row>
    <row r="466">
      <c r="Y466" s="10" t="n">
        <v>46043</v>
      </c>
      <c r="Z466" s="9" t="n">
        <v>247.65</v>
      </c>
    </row>
    <row r="467">
      <c r="Y467" s="10" t="n">
        <v>46044</v>
      </c>
      <c r="Z467" s="9" t="n">
        <v>248.35</v>
      </c>
    </row>
    <row r="468">
      <c r="Y468" s="10" t="n">
        <v>46045</v>
      </c>
      <c r="Z468" s="9" t="n">
        <v>248.04</v>
      </c>
    </row>
    <row r="469">
      <c r="Y469" s="10" t="n">
        <v>46048</v>
      </c>
      <c r="Z469" s="9" t="n">
        <v>255.41</v>
      </c>
    </row>
    <row r="470">
      <c r="Y470" s="10" t="n">
        <v>46049</v>
      </c>
      <c r="Z470" s="9" t="n">
        <v>258.27</v>
      </c>
    </row>
    <row r="471">
      <c r="Y471" s="10" t="n">
        <v>46050</v>
      </c>
      <c r="Z471" s="9" t="n">
        <v>256.44</v>
      </c>
    </row>
    <row r="472">
      <c r="Y472" s="10" t="n">
        <v>46051</v>
      </c>
      <c r="Z472" s="9" t="n">
        <v>258.28</v>
      </c>
    </row>
    <row r="473">
      <c r="Y473" s="10" t="n">
        <v>46052</v>
      </c>
      <c r="Z473" s="9" t="n">
        <v>259.48</v>
      </c>
    </row>
    <row r="474">
      <c r="Y474" s="10" t="n">
        <v>46055</v>
      </c>
      <c r="Z474" s="9" t="n">
        <v>270.01</v>
      </c>
    </row>
    <row r="475">
      <c r="Y475" s="10" t="n">
        <v>46056</v>
      </c>
      <c r="Z475" s="9" t="n">
        <v>269.48</v>
      </c>
    </row>
    <row r="476">
      <c r="Y476" s="10" t="n">
        <v>46057</v>
      </c>
      <c r="Z476" s="9" t="n">
        <v>276.49</v>
      </c>
    </row>
    <row r="477">
      <c r="Y477" s="10" t="n">
        <v>46058</v>
      </c>
      <c r="Z477" s="9" t="n">
        <v>275.91</v>
      </c>
    </row>
    <row r="478">
      <c r="Y478" s="10" t="n">
        <v>46059</v>
      </c>
      <c r="Z478" s="9" t="n">
        <v>278.12</v>
      </c>
    </row>
    <row r="479">
      <c r="Y479" s="10" t="n">
        <v>46062</v>
      </c>
      <c r="Z479" s="9" t="n">
        <v>274.62</v>
      </c>
    </row>
    <row r="480">
      <c r="Y480" s="10" t="n">
        <v>46063</v>
      </c>
      <c r="Z480" s="9" t="n">
        <v>273.68</v>
      </c>
    </row>
    <row r="481">
      <c r="Y481" s="10" t="n">
        <v>46064</v>
      </c>
      <c r="Z481" s="9" t="n">
        <v>275.5</v>
      </c>
    </row>
    <row r="482">
      <c r="Y482" s="10" t="n">
        <v>46065</v>
      </c>
      <c r="Z482" s="9" t="n">
        <v>261.73</v>
      </c>
    </row>
    <row r="483">
      <c r="Y483" s="10" t="n">
        <v>46066</v>
      </c>
      <c r="Z483" s="9" t="n">
        <v>255.78</v>
      </c>
    </row>
    <row r="484">
      <c r="Y484" s="10" t="n">
        <v>46070</v>
      </c>
      <c r="Z484" s="9" t="n">
        <v>263.88</v>
      </c>
    </row>
    <row r="485">
      <c r="Y485" s="10" t="n">
        <v>46071</v>
      </c>
      <c r="Z485" s="9" t="n">
        <v>264.35</v>
      </c>
    </row>
    <row r="486">
      <c r="Y486" s="10" t="n">
        <v>46072</v>
      </c>
      <c r="Z486" s="9" t="n">
        <v>260.58</v>
      </c>
    </row>
    <row r="487">
      <c r="Y487" s="10" t="n">
        <v>46073</v>
      </c>
      <c r="Z487" s="9" t="n">
        <v>264.58</v>
      </c>
    </row>
    <row r="488">
      <c r="Y488" s="10" t="n">
        <v>46076</v>
      </c>
      <c r="Z488" s="9" t="n">
        <v>266.18</v>
      </c>
    </row>
    <row r="489">
      <c r="Y489" s="10" t="n">
        <v>46077</v>
      </c>
      <c r="Z489" s="9" t="n">
        <v>272.14</v>
      </c>
    </row>
    <row r="490">
      <c r="Y490" s="10" t="n">
        <v>46078</v>
      </c>
      <c r="Z490" s="9" t="n">
        <v>274.23</v>
      </c>
    </row>
    <row r="491">
      <c r="Y491" s="10" t="n">
        <v>46079</v>
      </c>
      <c r="Z491" s="9" t="n">
        <v>272.95</v>
      </c>
    </row>
    <row r="492">
      <c r="Y492" s="10" t="n">
        <v>46080</v>
      </c>
      <c r="Z492" s="9" t="n">
        <v>264.18</v>
      </c>
    </row>
    <row r="493">
      <c r="Y493" s="10" t="n">
        <v>46083</v>
      </c>
      <c r="Z493" s="9" t="n">
        <v>264.72</v>
      </c>
    </row>
    <row r="494">
      <c r="Y494" s="10" t="n">
        <v>46084</v>
      </c>
      <c r="Z494" s="9" t="n">
        <v>263.75</v>
      </c>
    </row>
    <row r="495">
      <c r="Y495" s="10" t="n">
        <v>46085</v>
      </c>
      <c r="Z495" s="9" t="n">
        <v>262.52</v>
      </c>
    </row>
    <row r="496">
      <c r="Y496" s="10" t="n">
        <v>46086</v>
      </c>
      <c r="Z496" s="9" t="n">
        <v>260.29</v>
      </c>
    </row>
    <row r="497">
      <c r="Y497" s="10" t="n">
        <v>46087</v>
      </c>
      <c r="Z497" s="9" t="n">
        <v>257.46</v>
      </c>
    </row>
    <row r="498">
      <c r="Y498" s="10" t="n">
        <v>46090</v>
      </c>
      <c r="Z498" s="9" t="n">
        <v>259.88</v>
      </c>
    </row>
    <row r="499">
      <c r="Y499" s="10" t="n">
        <v>46091</v>
      </c>
      <c r="Z499" s="9" t="n">
        <v>260.83</v>
      </c>
    </row>
    <row r="500">
      <c r="Y500" s="10" t="n">
        <v>46092</v>
      </c>
      <c r="Z500" s="9" t="n">
        <v>260.81</v>
      </c>
    </row>
    <row r="501">
      <c r="Y501" s="10" t="n">
        <v>46093</v>
      </c>
      <c r="Z501" s="9" t="n">
        <v>255.76</v>
      </c>
    </row>
    <row r="502">
      <c r="Y502" s="10" t="n">
        <v>46094</v>
      </c>
      <c r="Z502" s="9" t="n">
        <v>250.12</v>
      </c>
    </row>
    <row r="503">
      <c r="Y503" s="10" t="n">
        <v>46097</v>
      </c>
      <c r="Z503" s="9" t="n">
        <v>252.82</v>
      </c>
    </row>
  </sheetData>
  <mergeCells count="5">
    <mergeCell ref="B25:J30"/>
    <mergeCell ref="K25:R30"/>
    <mergeCell ref="K4:R14"/>
    <mergeCell ref="B18:J23"/>
    <mergeCell ref="K18:R23"/>
  </mergeCells>
  <conditionalFormatting sqref="T2">
    <cfRule type="beginsWith" priority="1" operator="beginsWith" dxfId="4" text="Hold">
      <formula>LEFT(T2,LEN("Hold"))="Hold"</formula>
    </cfRule>
    <cfRule type="beginsWith" priority="2" operator="beginsWith" dxfId="3" text="Buy">
      <formula>LEFT(T2,LEN("Buy"))="Buy"</formula>
    </cfRule>
    <cfRule type="beginsWith" priority="3" operator="beginsWith" dxfId="2" text="Strong Buy">
      <formula>LEFT(T2,LEN("Strong Buy"))="Strong Buy"</formula>
    </cfRule>
    <cfRule type="beginsWith" priority="4" operator="beginsWith" dxfId="1" text="Sell">
      <formula>LEFT(T2,LEN("Sell"))="Sell"</formula>
    </cfRule>
    <cfRule type="beginsWith" priority="5" operator="beginsWith" dxfId="0" text="Strong Sell">
      <formula>LEFT(T2,LEN("Strong Sell"))="Strong Sell"</formula>
    </cfRule>
  </conditionalFormatting>
  <dataValidations count="1">
    <dataValidation sqref="T2" showDropDown="0" showInputMessage="1" showErrorMessage="1" allowBlank="0" type="list">
      <formula1>"Strong Buy, Buy, Hold, Sell, Strong Sell"</formula1>
    </dataValidation>
  </dataValidation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F61"/>
  <sheetViews>
    <sheetView showGridLines="0" workbookViewId="0">
      <selection activeCell="B32" sqref="B32:B33"/>
    </sheetView>
  </sheetViews>
  <sheetFormatPr baseColWidth="8" defaultRowHeight="16.5"/>
  <cols>
    <col width="9.140625" customWidth="1" style="2" min="1" max="1"/>
    <col width="44.85546875" bestFit="1" customWidth="1" style="2" min="2" max="2"/>
    <col width="12.42578125" customWidth="1" style="2" min="3" max="3"/>
    <col width="20.5703125" customWidth="1" style="2" min="4" max="4"/>
    <col width="72" customWidth="1" style="2" min="5" max="5"/>
    <col width="65.140625" customWidth="1" style="2" min="6" max="6"/>
    <col width="9.140625" customWidth="1" style="2" min="7" max="16384"/>
  </cols>
  <sheetData>
    <row r="3">
      <c r="B3" s="23" t="inlineStr">
        <is>
          <t>Environmental</t>
        </is>
      </c>
      <c r="C3" s="23" t="inlineStr">
        <is>
          <t>Overview</t>
        </is>
      </c>
      <c r="D3" s="23" t="inlineStr">
        <is>
          <t>Targets</t>
        </is>
      </c>
      <c r="E3" s="23" t="inlineStr">
        <is>
          <t>Improvements</t>
        </is>
      </c>
      <c r="F3" s="23" t="inlineStr">
        <is>
          <t>Comments</t>
        </is>
      </c>
    </row>
    <row r="4" ht="3.95" customHeight="1">
      <c r="B4" s="243" t="inlineStr">
        <is>
          <t>GHG Scope 1 Emissions</t>
        </is>
      </c>
      <c r="C4" s="244" t="n"/>
      <c r="D4" s="245" t="n"/>
      <c r="E4" s="245" t="n"/>
      <c r="F4" s="245" t="n"/>
    </row>
    <row r="5">
      <c r="B5" s="246" t="n"/>
      <c r="C5" s="246" t="n"/>
      <c r="D5" s="246" t="n"/>
      <c r="E5" s="246" t="n"/>
      <c r="F5" s="246" t="n"/>
    </row>
    <row r="6">
      <c r="B6" s="247" t="inlineStr">
        <is>
          <t>Water Consumption</t>
        </is>
      </c>
      <c r="C6" s="248" t="n"/>
      <c r="D6" s="249" t="n"/>
      <c r="E6" s="249" t="n"/>
      <c r="F6" s="249" t="n"/>
    </row>
    <row r="7">
      <c r="B7" s="246" t="n"/>
      <c r="C7" s="246" t="n"/>
      <c r="D7" s="246" t="n"/>
      <c r="E7" s="246" t="n"/>
      <c r="F7" s="246" t="n"/>
    </row>
    <row r="8">
      <c r="B8" s="247" t="inlineStr">
        <is>
          <t>Energy Consumption</t>
        </is>
      </c>
      <c r="C8" s="250" t="n"/>
      <c r="D8" s="249" t="n"/>
      <c r="E8" s="249" t="n"/>
      <c r="F8" s="249" t="n"/>
    </row>
    <row r="9">
      <c r="B9" s="246" t="n"/>
      <c r="C9" s="246" t="n"/>
      <c r="D9" s="246" t="n"/>
      <c r="E9" s="246" t="n"/>
      <c r="F9" s="246" t="n"/>
    </row>
    <row r="10">
      <c r="B10" s="247" t="inlineStr">
        <is>
          <t>Waste Management</t>
        </is>
      </c>
      <c r="C10" s="251" t="n"/>
      <c r="D10" s="249" t="n"/>
      <c r="E10" s="249" t="n"/>
      <c r="F10" s="249" t="n"/>
    </row>
    <row r="11">
      <c r="B11" s="246" t="n"/>
      <c r="C11" s="246" t="n"/>
      <c r="D11" s="246" t="n"/>
      <c r="E11" s="246" t="n"/>
      <c r="F11" s="246" t="n"/>
    </row>
    <row r="12">
      <c r="B12" s="203" t="inlineStr">
        <is>
          <t>Other</t>
        </is>
      </c>
      <c r="C12" s="204" t="n"/>
      <c r="D12" s="205" t="n"/>
      <c r="E12" s="205" t="n"/>
      <c r="F12" s="205" t="n"/>
    </row>
    <row r="13"/>
    <row r="14">
      <c r="B14" s="20" t="n"/>
      <c r="C14" s="21" t="n"/>
      <c r="D14" s="205" t="n"/>
      <c r="E14" s="22" t="n"/>
      <c r="F14" s="22" t="n"/>
    </row>
    <row r="15">
      <c r="B15" s="23" t="inlineStr">
        <is>
          <t>Social</t>
        </is>
      </c>
      <c r="C15" s="23" t="inlineStr">
        <is>
          <t>Overview</t>
        </is>
      </c>
      <c r="D15" s="23" t="inlineStr">
        <is>
          <t>Targets</t>
        </is>
      </c>
      <c r="E15" s="23" t="inlineStr">
        <is>
          <t>Improvements</t>
        </is>
      </c>
      <c r="F15" s="23" t="inlineStr">
        <is>
          <t>Comments</t>
        </is>
      </c>
    </row>
    <row r="16">
      <c r="B16" s="243" t="inlineStr">
        <is>
          <t>Employee Turnover %</t>
        </is>
      </c>
      <c r="C16" s="252" t="n"/>
      <c r="D16" s="245" t="n"/>
      <c r="E16" s="245" t="n"/>
      <c r="F16" s="245" t="n"/>
    </row>
    <row r="17">
      <c r="B17" s="246" t="n"/>
      <c r="C17" s="246" t="n"/>
      <c r="D17" s="246" t="n"/>
      <c r="E17" s="246" t="n"/>
      <c r="F17" s="246" t="n"/>
    </row>
    <row r="18">
      <c r="B18" s="247" t="inlineStr">
        <is>
          <t>Salaries &amp; Compensation</t>
        </is>
      </c>
      <c r="C18" s="253" t="n"/>
      <c r="D18" s="249" t="n"/>
      <c r="E18" s="249" t="n"/>
      <c r="F18" s="249" t="n"/>
    </row>
    <row r="19">
      <c r="B19" s="246" t="n"/>
      <c r="C19" s="246" t="n"/>
      <c r="D19" s="246" t="n"/>
      <c r="E19" s="246" t="n"/>
      <c r="F19" s="246" t="n"/>
    </row>
    <row r="20">
      <c r="B20" s="247" t="inlineStr">
        <is>
          <t>Reputation</t>
        </is>
      </c>
      <c r="C20" s="248" t="n"/>
      <c r="D20" s="249" t="n"/>
      <c r="E20" s="249" t="n"/>
      <c r="F20" s="249" t="n"/>
    </row>
    <row r="21">
      <c r="B21" s="246" t="n"/>
      <c r="C21" s="246" t="n"/>
      <c r="D21" s="246" t="n"/>
      <c r="E21" s="246" t="n"/>
      <c r="F21" s="246" t="n"/>
    </row>
    <row r="22">
      <c r="B22" s="247" t="inlineStr">
        <is>
          <t>Discrimination Events</t>
        </is>
      </c>
      <c r="C22" s="253" t="n"/>
      <c r="D22" s="249" t="n"/>
      <c r="E22" s="249" t="n"/>
      <c r="F22" s="249" t="n"/>
    </row>
    <row r="23">
      <c r="B23" s="246" t="n"/>
      <c r="C23" s="246" t="n"/>
      <c r="D23" s="246" t="n"/>
      <c r="E23" s="246" t="n"/>
      <c r="F23" s="246" t="n"/>
    </row>
    <row r="24">
      <c r="B24" s="247" t="inlineStr">
        <is>
          <t>Work Safety</t>
        </is>
      </c>
      <c r="C24" s="253" t="n"/>
      <c r="D24" s="249" t="n"/>
      <c r="E24" s="249" t="n"/>
      <c r="F24" s="249" t="n"/>
    </row>
    <row r="25">
      <c r="B25" s="246" t="n"/>
      <c r="C25" s="246" t="n"/>
      <c r="D25" s="246" t="n"/>
      <c r="E25" s="246" t="n"/>
      <c r="F25" s="246" t="n"/>
    </row>
    <row r="26">
      <c r="B26" s="247" t="inlineStr">
        <is>
          <t>Damage to consumer health</t>
        </is>
      </c>
      <c r="C26" s="253" t="n"/>
      <c r="D26" s="249" t="n"/>
      <c r="E26" s="249" t="n"/>
      <c r="F26" s="249" t="n"/>
    </row>
    <row r="27">
      <c r="B27" s="246" t="n"/>
      <c r="C27" s="246" t="n"/>
      <c r="D27" s="246" t="n"/>
      <c r="E27" s="246" t="n"/>
      <c r="F27" s="246" t="n"/>
    </row>
    <row r="28">
      <c r="B28" s="247" t="inlineStr">
        <is>
          <t>Pension Plan</t>
        </is>
      </c>
      <c r="C28" s="251" t="n"/>
      <c r="D28" s="249" t="n"/>
      <c r="E28" s="249" t="n"/>
      <c r="F28" s="249" t="n"/>
    </row>
    <row r="29">
      <c r="B29" s="246" t="n"/>
      <c r="C29" s="246" t="n"/>
      <c r="D29" s="246" t="n"/>
      <c r="E29" s="246" t="n"/>
      <c r="F29" s="246" t="n"/>
    </row>
    <row r="30">
      <c r="B30" s="247" t="inlineStr">
        <is>
          <t>Supply chain</t>
        </is>
      </c>
      <c r="C30" s="253" t="n"/>
      <c r="D30" s="249" t="n"/>
      <c r="E30" s="249" t="n"/>
      <c r="F30" s="249" t="n"/>
    </row>
    <row r="31">
      <c r="B31" s="246" t="n"/>
      <c r="C31" s="246" t="n"/>
      <c r="D31" s="246" t="n"/>
      <c r="E31" s="246" t="n"/>
      <c r="F31" s="246" t="n"/>
    </row>
    <row r="32">
      <c r="B32" s="247" t="inlineStr">
        <is>
          <t>Community involvement</t>
        </is>
      </c>
      <c r="C32" s="253" t="n"/>
      <c r="D32" s="249" t="n"/>
      <c r="E32" s="249" t="n"/>
      <c r="F32" s="249" t="n"/>
    </row>
    <row r="33">
      <c r="B33" s="246" t="n"/>
      <c r="C33" s="246" t="n"/>
      <c r="D33" s="246" t="n"/>
      <c r="E33" s="246" t="n"/>
      <c r="F33" s="246" t="n"/>
    </row>
    <row r="34">
      <c r="B34" s="247" t="inlineStr">
        <is>
          <t>Public Sector</t>
        </is>
      </c>
      <c r="C34" s="250" t="n"/>
      <c r="D34" s="249" t="n"/>
      <c r="E34" s="249" t="n"/>
      <c r="F34" s="249" t="n"/>
    </row>
    <row r="35">
      <c r="B35" s="246" t="n"/>
      <c r="C35" s="246" t="n"/>
      <c r="D35" s="246" t="n"/>
      <c r="E35" s="246" t="n"/>
      <c r="F35" s="246" t="n"/>
    </row>
    <row r="36">
      <c r="B36" s="203" t="inlineStr">
        <is>
          <t>Litigation</t>
        </is>
      </c>
      <c r="C36" s="208" t="n"/>
      <c r="D36" s="205" t="n"/>
      <c r="E36" s="205" t="n"/>
      <c r="F36" s="205" t="n"/>
    </row>
    <row r="37"/>
    <row r="38">
      <c r="B38" s="20" t="n"/>
      <c r="C38" s="21" t="n"/>
      <c r="D38" s="205" t="n"/>
      <c r="E38" s="22" t="n"/>
      <c r="F38" s="22" t="n"/>
    </row>
    <row r="39">
      <c r="B39" s="23" t="inlineStr">
        <is>
          <t>Governance</t>
        </is>
      </c>
      <c r="C39" s="23" t="inlineStr">
        <is>
          <t>Overview</t>
        </is>
      </c>
      <c r="D39" s="23" t="inlineStr">
        <is>
          <t>Targets</t>
        </is>
      </c>
      <c r="E39" s="23" t="inlineStr">
        <is>
          <t>Improvements</t>
        </is>
      </c>
      <c r="F39" s="23" t="inlineStr">
        <is>
          <t>Comments</t>
        </is>
      </c>
    </row>
    <row r="40">
      <c r="B40" s="243" t="inlineStr">
        <is>
          <t>Diversity (Gender, Age, Industry, Region)</t>
        </is>
      </c>
      <c r="C40" s="254" t="n"/>
      <c r="D40" s="245" t="n"/>
      <c r="E40" s="245" t="n"/>
      <c r="F40" s="245" t="n"/>
    </row>
    <row r="41">
      <c r="B41" s="246" t="n"/>
      <c r="C41" s="246" t="n"/>
      <c r="D41" s="246" t="n"/>
      <c r="E41" s="246" t="n"/>
      <c r="F41" s="246" t="n"/>
    </row>
    <row r="42">
      <c r="B42" s="247" t="inlineStr">
        <is>
          <t>% Independence</t>
        </is>
      </c>
      <c r="C42" s="255" t="n"/>
      <c r="D42" s="249" t="n"/>
      <c r="E42" s="249" t="n"/>
      <c r="F42" s="249" t="n"/>
    </row>
    <row r="43">
      <c r="B43" s="246" t="n"/>
      <c r="C43" s="246" t="n"/>
      <c r="D43" s="246" t="n"/>
      <c r="E43" s="246" t="n"/>
      <c r="F43" s="246" t="n"/>
    </row>
    <row r="44">
      <c r="B44" s="247" t="inlineStr">
        <is>
          <t>Average time as independent directors</t>
        </is>
      </c>
      <c r="C44" s="256" t="n"/>
      <c r="D44" s="249" t="n"/>
      <c r="E44" s="249" t="n"/>
      <c r="F44" s="249" t="n"/>
    </row>
    <row r="45">
      <c r="B45" s="246" t="n"/>
      <c r="C45" s="246" t="n"/>
      <c r="D45" s="246" t="n"/>
      <c r="E45" s="246" t="n"/>
      <c r="F45" s="246" t="n"/>
    </row>
    <row r="46">
      <c r="B46" s="247" t="inlineStr">
        <is>
          <t>Departures of C-level executives</t>
        </is>
      </c>
      <c r="C46" s="255" t="n"/>
      <c r="D46" s="249" t="n"/>
      <c r="E46" s="249" t="n"/>
      <c r="F46" s="249" t="n"/>
    </row>
    <row r="47">
      <c r="B47" s="246" t="n"/>
      <c r="C47" s="246" t="n"/>
      <c r="D47" s="246" t="n"/>
      <c r="E47" s="246" t="n"/>
      <c r="F47" s="246" t="n"/>
    </row>
    <row r="48">
      <c r="B48" s="247" t="inlineStr">
        <is>
          <t>CEO/Chairman duality</t>
        </is>
      </c>
      <c r="C48" s="257" t="n"/>
      <c r="D48" s="249" t="n"/>
      <c r="E48" s="249" t="n"/>
      <c r="F48" s="249" t="n"/>
    </row>
    <row r="49">
      <c r="B49" s="246" t="n"/>
      <c r="C49" s="246" t="n"/>
      <c r="D49" s="246" t="n"/>
      <c r="E49" s="246" t="n"/>
      <c r="F49" s="246" t="n"/>
    </row>
    <row r="50">
      <c r="B50" s="247" t="inlineStr">
        <is>
          <t>Transparency when reporting</t>
        </is>
      </c>
      <c r="C50" s="255" t="n"/>
      <c r="D50" s="249" t="n"/>
      <c r="E50" s="249" t="n"/>
      <c r="F50" s="249" t="n"/>
    </row>
    <row r="51">
      <c r="B51" s="246" t="n"/>
      <c r="C51" s="246" t="n"/>
      <c r="D51" s="246" t="n"/>
      <c r="E51" s="246" t="n"/>
      <c r="F51" s="246" t="n"/>
    </row>
    <row r="52">
      <c r="B52" s="247" t="inlineStr">
        <is>
          <t>Time taken to report</t>
        </is>
      </c>
      <c r="C52" s="255" t="n"/>
      <c r="D52" s="249" t="n"/>
      <c r="E52" s="249" t="n"/>
      <c r="F52" s="249" t="n"/>
    </row>
    <row r="53">
      <c r="B53" s="246" t="n"/>
      <c r="C53" s="246" t="n"/>
      <c r="D53" s="246" t="n"/>
      <c r="E53" s="246" t="n"/>
      <c r="F53" s="246" t="n"/>
    </row>
    <row r="54">
      <c r="B54" s="247" t="inlineStr">
        <is>
          <t>CEO or Chairman in other boards?</t>
        </is>
      </c>
      <c r="C54" s="258" t="n"/>
      <c r="D54" s="249" t="n"/>
      <c r="E54" s="249" t="n"/>
      <c r="F54" s="249" t="n"/>
    </row>
    <row r="55">
      <c r="B55" s="246" t="n"/>
      <c r="C55" s="246" t="n"/>
      <c r="D55" s="246" t="n"/>
      <c r="E55" s="246" t="n"/>
      <c r="F55" s="246" t="n"/>
    </row>
    <row r="56">
      <c r="B56" s="190" t="inlineStr">
        <is>
          <t>Audit / Consulting</t>
        </is>
      </c>
      <c r="C56" s="210" t="n"/>
      <c r="D56" s="194" t="n"/>
      <c r="E56" s="194" t="n"/>
      <c r="F56" s="194" t="n"/>
    </row>
    <row r="57">
      <c r="B57" s="246" t="n"/>
      <c r="C57" s="246" t="n"/>
      <c r="D57" s="246" t="n"/>
      <c r="E57" s="246" t="n"/>
      <c r="F57" s="246" t="n"/>
    </row>
    <row r="58">
      <c r="B58" s="247" t="inlineStr">
        <is>
          <t>ESG-compensation related</t>
        </is>
      </c>
      <c r="C58" s="255" t="n"/>
      <c r="D58" s="249" t="n"/>
      <c r="E58" s="249" t="n"/>
      <c r="F58" s="249" t="n"/>
    </row>
    <row r="59">
      <c r="B59" s="246" t="n"/>
      <c r="C59" s="246" t="n"/>
      <c r="D59" s="246" t="n"/>
      <c r="E59" s="246" t="n"/>
      <c r="F59" s="246" t="n"/>
    </row>
    <row r="60">
      <c r="B60" s="203" t="inlineStr">
        <is>
          <t>Management compensation schemes</t>
        </is>
      </c>
      <c r="C60" s="218" t="n"/>
      <c r="D60" s="205" t="n"/>
      <c r="E60" s="205" t="n"/>
      <c r="F60" s="205" t="n"/>
    </row>
    <row r="61"/>
  </sheetData>
  <mergeCells count="135">
    <mergeCell ref="F44:F45"/>
    <mergeCell ref="C30:C31"/>
    <mergeCell ref="E8:E9"/>
    <mergeCell ref="E48:E49"/>
    <mergeCell ref="B12:B13"/>
    <mergeCell ref="B52:B53"/>
    <mergeCell ref="D52:D53"/>
    <mergeCell ref="C10:C11"/>
    <mergeCell ref="C16:C17"/>
    <mergeCell ref="B42:B43"/>
    <mergeCell ref="E10:E11"/>
    <mergeCell ref="D36:D37"/>
    <mergeCell ref="F18:F19"/>
    <mergeCell ref="F30:F31"/>
    <mergeCell ref="D32:D33"/>
    <mergeCell ref="F26:F27"/>
    <mergeCell ref="F42:F43"/>
    <mergeCell ref="D16:D17"/>
    <mergeCell ref="B28:B29"/>
    <mergeCell ref="B6:B7"/>
    <mergeCell ref="D18:D19"/>
    <mergeCell ref="F28:F29"/>
    <mergeCell ref="D8:D9"/>
    <mergeCell ref="E50:E51"/>
    <mergeCell ref="B40:B41"/>
    <mergeCell ref="B54:B55"/>
    <mergeCell ref="D54:D55"/>
    <mergeCell ref="F48:F49"/>
    <mergeCell ref="D10:D11"/>
    <mergeCell ref="E12:E13"/>
    <mergeCell ref="B56:B57"/>
    <mergeCell ref="D34:D35"/>
    <mergeCell ref="C6:C7"/>
    <mergeCell ref="F34:F35"/>
    <mergeCell ref="B26:B27"/>
    <mergeCell ref="F16:F17"/>
    <mergeCell ref="D40:D41"/>
    <mergeCell ref="F40:F41"/>
    <mergeCell ref="C4:C5"/>
    <mergeCell ref="F36:F37"/>
    <mergeCell ref="E4:E5"/>
    <mergeCell ref="C54:C55"/>
    <mergeCell ref="F20:F21"/>
    <mergeCell ref="B58:B59"/>
    <mergeCell ref="C56:C57"/>
    <mergeCell ref="F22:F23"/>
    <mergeCell ref="B60:B61"/>
    <mergeCell ref="C46:C47"/>
    <mergeCell ref="D12:D13"/>
    <mergeCell ref="E46:E47"/>
    <mergeCell ref="C40:C41"/>
    <mergeCell ref="E40:E41"/>
    <mergeCell ref="E54:E55"/>
    <mergeCell ref="B44:B45"/>
    <mergeCell ref="C8:C9"/>
    <mergeCell ref="C60:C61"/>
    <mergeCell ref="F46:F47"/>
    <mergeCell ref="C32:C33"/>
    <mergeCell ref="E26:E27"/>
    <mergeCell ref="B30:B31"/>
    <mergeCell ref="D30:D31"/>
    <mergeCell ref="B32:B33"/>
    <mergeCell ref="C34:C35"/>
    <mergeCell ref="D26:D27"/>
    <mergeCell ref="F4:F5"/>
    <mergeCell ref="B16:B17"/>
    <mergeCell ref="C58:C59"/>
    <mergeCell ref="F10:F11"/>
    <mergeCell ref="C18:C19"/>
    <mergeCell ref="F54:F55"/>
    <mergeCell ref="E58:E59"/>
    <mergeCell ref="F24:F25"/>
    <mergeCell ref="E52:E53"/>
    <mergeCell ref="B50:B51"/>
    <mergeCell ref="C42:C43"/>
    <mergeCell ref="B18:B19"/>
    <mergeCell ref="C20:C21"/>
    <mergeCell ref="E42:E43"/>
    <mergeCell ref="E20:E21"/>
    <mergeCell ref="E60:E61"/>
    <mergeCell ref="B8:B9"/>
    <mergeCell ref="C50:C51"/>
    <mergeCell ref="C44:C45"/>
    <mergeCell ref="C22:C23"/>
    <mergeCell ref="E44:E45"/>
    <mergeCell ref="F8:F9"/>
    <mergeCell ref="E28:E29"/>
    <mergeCell ref="C12:C13"/>
    <mergeCell ref="B34:B35"/>
    <mergeCell ref="F50:F51"/>
    <mergeCell ref="C36:C37"/>
    <mergeCell ref="D28:D29"/>
    <mergeCell ref="E30:E31"/>
    <mergeCell ref="E32:E33"/>
    <mergeCell ref="B36:B37"/>
    <mergeCell ref="F52:F53"/>
    <mergeCell ref="B20:B21"/>
    <mergeCell ref="D42:D43"/>
    <mergeCell ref="E16:E17"/>
    <mergeCell ref="D20:D21"/>
    <mergeCell ref="C48:C49"/>
    <mergeCell ref="E56:E57"/>
    <mergeCell ref="B4:B5"/>
    <mergeCell ref="B22:B23"/>
    <mergeCell ref="E18:E19"/>
    <mergeCell ref="D6:D7"/>
    <mergeCell ref="F6:F7"/>
    <mergeCell ref="F12:F13"/>
    <mergeCell ref="B46:B47"/>
    <mergeCell ref="D46:D47"/>
    <mergeCell ref="E34:E35"/>
    <mergeCell ref="C26:C27"/>
    <mergeCell ref="F32:F33"/>
    <mergeCell ref="B48:B49"/>
    <mergeCell ref="D48:D49"/>
    <mergeCell ref="D4:D5"/>
    <mergeCell ref="D56:D57"/>
    <mergeCell ref="F56:F57"/>
    <mergeCell ref="E6:E7"/>
    <mergeCell ref="B10:B11"/>
    <mergeCell ref="B24:B25"/>
    <mergeCell ref="D24:D25"/>
    <mergeCell ref="C52:C53"/>
    <mergeCell ref="E36:E37"/>
    <mergeCell ref="D50:D51"/>
    <mergeCell ref="D58:D59"/>
    <mergeCell ref="F58:F59"/>
    <mergeCell ref="D60:D61"/>
    <mergeCell ref="C28:C29"/>
    <mergeCell ref="E22:E23"/>
    <mergeCell ref="F60:F61"/>
    <mergeCell ref="C24:C25"/>
    <mergeCell ref="E24:E25"/>
    <mergeCell ref="D44:D45"/>
    <mergeCell ref="D22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showGridLines="0" workbookViewId="0">
      <selection activeCell="G28" sqref="G28"/>
    </sheetView>
  </sheetViews>
  <sheetFormatPr baseColWidth="8" defaultRowHeight="16.5"/>
  <cols>
    <col width="3.7109375" customWidth="1" style="2" min="1" max="1"/>
    <col width="40.7109375" bestFit="1" customWidth="1" style="2" min="2" max="2"/>
    <col width="17.7109375" customWidth="1" style="2" min="3" max="7"/>
    <col width="20.140625" bestFit="1" customWidth="1" style="2" min="8" max="8"/>
    <col width="17.7109375" customWidth="1" style="2" min="9" max="14"/>
    <col width="9.140625" customWidth="1" style="2" min="15" max="15"/>
    <col width="13.140625" bestFit="1" customWidth="1" style="30" min="16" max="16"/>
    <col width="22" customWidth="1" style="30" min="17" max="17"/>
    <col width="16" customWidth="1" style="30" min="18" max="18"/>
    <col width="9.140625" customWidth="1" style="30" min="19" max="19"/>
    <col width="14.85546875" bestFit="1" customWidth="1" style="30" min="20" max="20"/>
    <col width="9.140625" customWidth="1" style="30" min="21" max="22"/>
    <col width="18.42578125" customWidth="1" style="30" min="23" max="23"/>
    <col width="9.140625" customWidth="1" style="2" min="24" max="16384"/>
  </cols>
  <sheetData>
    <row r="1"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B2" s="29" t="inlineStr">
        <is>
          <t>Profitability Analysis</t>
        </is>
      </c>
      <c r="C2" s="28" t="inlineStr">
        <is>
          <t>Revenue Growth</t>
        </is>
      </c>
      <c r="D2" s="28" t="inlineStr">
        <is>
          <t>Gross Margin</t>
        </is>
      </c>
      <c r="E2" s="28" t="inlineStr">
        <is>
          <t>Operating Margin</t>
        </is>
      </c>
      <c r="F2" s="28" t="inlineStr">
        <is>
          <t>ROE</t>
        </is>
      </c>
      <c r="G2" s="28" t="inlineStr">
        <is>
          <t>ROA</t>
        </is>
      </c>
      <c r="H2" s="28" t="inlineStr">
        <is>
          <t>ROIC</t>
        </is>
      </c>
      <c r="I2" s="45" t="n"/>
      <c r="J2" s="46" t="n"/>
      <c r="P2" s="2" t="n"/>
      <c r="Q2" s="27" t="n"/>
      <c r="R2" s="27" t="n"/>
      <c r="S2" s="27" t="n"/>
      <c r="T2" s="27" t="n"/>
      <c r="U2" s="27" t="n"/>
      <c r="V2" s="27" t="n"/>
      <c r="W2" s="27" t="n"/>
    </row>
    <row r="3" ht="5.25" customFormat="1" customHeight="1" s="30">
      <c r="B3" s="42" t="n"/>
      <c r="C3" s="42" t="n"/>
      <c r="D3" s="42" t="n"/>
      <c r="E3" s="42" t="n"/>
      <c r="F3" s="42" t="n"/>
      <c r="G3" s="42" t="n"/>
      <c r="H3" s="42" t="n"/>
      <c r="I3" s="36" t="n"/>
      <c r="J3" s="36" t="n"/>
      <c r="Q3" s="27" t="n"/>
      <c r="R3" s="27" t="n"/>
      <c r="S3" s="27" t="n"/>
      <c r="T3" s="27" t="n"/>
      <c r="U3" s="27" t="n"/>
      <c r="V3" s="27" t="n"/>
      <c r="W3" s="27" t="n"/>
    </row>
    <row r="4" ht="5.25" customFormat="1" customHeight="1" s="30">
      <c r="B4" s="27" t="n"/>
      <c r="C4" s="27" t="n"/>
      <c r="D4" s="27" t="n"/>
      <c r="E4" s="27" t="n"/>
      <c r="F4" s="27" t="n"/>
      <c r="G4" s="27" t="n"/>
      <c r="H4" s="27" t="n"/>
      <c r="I4" s="36" t="n"/>
      <c r="J4" s="36" t="n"/>
      <c r="Q4" s="27" t="n"/>
      <c r="R4" s="27" t="n"/>
      <c r="S4" s="27" t="n"/>
      <c r="T4" s="27" t="n"/>
      <c r="U4" s="27" t="n"/>
      <c r="V4" s="27" t="n"/>
      <c r="W4" s="27" t="n"/>
    </row>
    <row r="5">
      <c r="A5" s="8" t="inlineStr">
        <is>
          <t>AAPL US Equity</t>
        </is>
      </c>
      <c r="B5" s="2" t="inlineStr">
        <is>
          <t>APPLE INC</t>
        </is>
      </c>
      <c r="C5" s="43" t="n">
        <v>0.06425511782832738</v>
      </c>
      <c r="D5" s="43" t="n">
        <v>0.4690516410716045</v>
      </c>
      <c r="E5" s="43" t="n">
        <v>0.3197079976259188</v>
      </c>
      <c r="F5" s="43" t="n">
        <v>1.520213232826497</v>
      </c>
      <c r="G5" s="43" t="n">
        <v>0.3256287825796053</v>
      </c>
      <c r="H5" s="43" t="n">
        <v>0.8243537001542705</v>
      </c>
      <c r="I5" s="43" t="n"/>
      <c r="J5" s="43" t="n"/>
      <c r="P5" s="2" t="n"/>
      <c r="Q5" s="31" t="n"/>
      <c r="R5" s="31" t="n"/>
      <c r="T5" s="32" t="n"/>
      <c r="U5" s="33" t="n"/>
    </row>
    <row r="6">
      <c r="A6" s="8" t="inlineStr">
        <is>
          <t>MU US Equity</t>
        </is>
      </c>
      <c r="B6" s="2" t="inlineStr">
        <is>
          <t>MICRON TECHNOLOGY INC</t>
        </is>
      </c>
      <c r="C6" s="43" t="n">
        <v>0.4885110111106686</v>
      </c>
      <c r="D6" s="43" t="n">
        <v>0.3979078602386431</v>
      </c>
      <c r="E6" s="43" t="n">
        <v>0.2613837016426775</v>
      </c>
      <c r="F6" s="43" t="n">
        <v>0.2255428349573402</v>
      </c>
      <c r="G6" s="43" t="n">
        <v>0.1512907159916662</v>
      </c>
      <c r="H6" s="43" t="n">
        <v>0.2068260552331909</v>
      </c>
      <c r="I6" s="43" t="n"/>
      <c r="J6" s="43" t="n"/>
      <c r="P6" s="2" t="n"/>
      <c r="Q6" s="259" t="n"/>
      <c r="R6" s="259" t="n"/>
      <c r="T6" s="32" t="n"/>
      <c r="U6" s="33" t="n"/>
    </row>
    <row r="7">
      <c r="A7" s="8" t="inlineStr">
        <is>
          <t>WDC US Equity</t>
        </is>
      </c>
      <c r="B7" s="2" t="inlineStr">
        <is>
          <t>WESTERN DIGITAL CORP</t>
        </is>
      </c>
      <c r="C7" s="43" t="n">
        <v>0.5070444831407314</v>
      </c>
      <c r="D7" s="43" t="n">
        <v>0.3878151260504202</v>
      </c>
      <c r="E7" s="43" t="n">
        <v>0.2451680672268907</v>
      </c>
      <c r="F7" s="43" t="n">
        <v>0.3885988724159531</v>
      </c>
      <c r="G7" s="43" t="n">
        <v>0.1863296564151265</v>
      </c>
      <c r="H7" s="43" t="n">
        <v>0.1914532974550762</v>
      </c>
      <c r="I7" s="43" t="n"/>
      <c r="J7" s="43" t="n"/>
      <c r="P7" s="2" t="n"/>
      <c r="Q7" s="259" t="n"/>
      <c r="R7" s="259" t="n"/>
      <c r="T7" s="32" t="n"/>
      <c r="U7" s="33" t="n"/>
    </row>
    <row r="8">
      <c r="A8" s="8" t="inlineStr">
        <is>
          <t>SNDK US Equity</t>
        </is>
      </c>
      <c r="B8" s="2" t="inlineStr">
        <is>
          <t>SANDISK CORP</t>
        </is>
      </c>
      <c r="C8" s="43" t="n">
        <v>0.1038571214167792</v>
      </c>
      <c r="D8" s="43" t="n">
        <v>0.3007477906186268</v>
      </c>
      <c r="E8" s="43" t="n">
        <v>-0.187219578518015</v>
      </c>
      <c r="F8" s="43" t="n">
        <v>-0.09372467813090844</v>
      </c>
      <c r="G8" s="43" t="n">
        <v>-0.07645417156286721</v>
      </c>
      <c r="H8" s="43" t="n">
        <v>-0.05360451587882966</v>
      </c>
      <c r="I8" s="43" t="n"/>
      <c r="J8" s="43" t="n"/>
      <c r="P8" s="2" t="n"/>
    </row>
    <row r="9">
      <c r="A9" s="8" t="n"/>
      <c r="C9" s="43" t="n"/>
      <c r="D9" s="43" t="n"/>
      <c r="E9" s="43" t="n"/>
      <c r="F9" s="43" t="n"/>
      <c r="G9" s="43" t="n"/>
      <c r="H9" s="43" t="n"/>
      <c r="I9" s="43" t="n"/>
      <c r="J9" s="43" t="n"/>
      <c r="P9" s="2" t="n"/>
    </row>
    <row r="11">
      <c r="B11" s="28" t="inlineStr">
        <is>
          <t>Trading Multiples</t>
        </is>
      </c>
      <c r="C11" s="28" t="inlineStr">
        <is>
          <t>EV / SALES</t>
        </is>
      </c>
      <c r="D11" s="28" t="inlineStr">
        <is>
          <t>EV/ EBITDA</t>
        </is>
      </c>
      <c r="E11" s="28" t="inlineStr">
        <is>
          <t>EV/ EBIT</t>
        </is>
      </c>
      <c r="F11" s="28" t="inlineStr">
        <is>
          <t>Beta</t>
        </is>
      </c>
    </row>
    <row r="12" ht="3.95" customHeight="1">
      <c r="B12" s="42" t="n"/>
      <c r="C12" s="42" t="n"/>
      <c r="D12" s="42" t="n"/>
      <c r="E12" s="42" t="n"/>
      <c r="F12" s="42" t="n"/>
    </row>
    <row r="13" ht="3.95" customHeight="1">
      <c r="C13" s="27" t="n"/>
      <c r="D13" s="27" t="n"/>
      <c r="E13" s="27" t="n"/>
      <c r="F13" s="27" t="n"/>
    </row>
    <row r="14">
      <c r="B14" s="2" t="inlineStr">
        <is>
          <t>APPLE INC</t>
        </is>
      </c>
      <c r="C14" s="44" t="n">
        <v>7.747896316839235</v>
      </c>
      <c r="D14" s="44" t="n">
        <v>25.56339888592286</v>
      </c>
      <c r="E14" s="44" t="n">
        <v>24.08568372308346</v>
      </c>
      <c r="F14" s="44" t="n">
        <v>0.9497784972190857</v>
      </c>
    </row>
    <row r="15">
      <c r="B15" s="2" t="inlineStr">
        <is>
          <t>MICRON TECHNOLOGY INC</t>
        </is>
      </c>
      <c r="C15" s="44" t="n">
        <v>5.416332039868663</v>
      </c>
      <c r="D15" s="44" t="n">
        <v>7.636620944916177</v>
      </c>
      <c r="E15" s="44" t="n">
        <v>8.337350061386486</v>
      </c>
      <c r="F15" s="44" t="n">
        <v>2.419956207275391</v>
      </c>
    </row>
    <row r="16">
      <c r="B16" s="2" t="inlineStr">
        <is>
          <t>WESTERN DIGITAL CORP</t>
        </is>
      </c>
      <c r="C16" s="44" t="n">
        <v>7.114912079732729</v>
      </c>
      <c r="D16" s="44" t="n">
        <v>9.445565645100265</v>
      </c>
      <c r="E16" s="44" t="n">
        <v>18.82208552459818</v>
      </c>
      <c r="F16" s="44" t="n">
        <v>2.310121536254883</v>
      </c>
    </row>
    <row r="17">
      <c r="B17" s="2" t="inlineStr">
        <is>
          <t>SANDISK CORP</t>
        </is>
      </c>
      <c r="C17" s="44" t="n">
        <v>4.585374584649348</v>
      </c>
      <c r="D17" s="44" t="n">
        <v>11.15059701492537</v>
      </c>
      <c r="E17" s="44" t="n">
        <v>7.44445857943235</v>
      </c>
      <c r="F17" s="44" t="n">
        <v>3.356982946395874</v>
      </c>
    </row>
    <row r="20">
      <c r="Q20" s="35" t="n"/>
      <c r="R20" s="35" t="n"/>
    </row>
    <row r="21">
      <c r="A21" s="2" t="inlineStr">
        <is>
          <t>X</t>
        </is>
      </c>
      <c r="B21" s="29" t="inlineStr">
        <is>
          <t xml:space="preserve">Balance Sheet </t>
        </is>
      </c>
      <c r="C21" s="29" t="inlineStr">
        <is>
          <t>AAPL US Equity</t>
        </is>
      </c>
      <c r="D21" s="29" t="inlineStr">
        <is>
          <t>MU US Equity</t>
        </is>
      </c>
      <c r="E21" s="29" t="inlineStr">
        <is>
          <t>WDC US Equity</t>
        </is>
      </c>
      <c r="F21" s="29" t="inlineStr">
        <is>
          <t>SNDK US Equity</t>
        </is>
      </c>
      <c r="H21" s="29" t="inlineStr">
        <is>
          <t>Income Statement</t>
        </is>
      </c>
      <c r="I21" s="29" t="inlineStr">
        <is>
          <t>AAPL US Equity</t>
        </is>
      </c>
      <c r="J21" s="29" t="inlineStr">
        <is>
          <t>MU US Equity</t>
        </is>
      </c>
      <c r="K21" s="29" t="inlineStr">
        <is>
          <t>WDC US Equity</t>
        </is>
      </c>
      <c r="L21" s="29" t="inlineStr">
        <is>
          <t>SNDK US Equity</t>
        </is>
      </c>
      <c r="M21" s="27" t="n"/>
      <c r="Q21" s="35" t="n"/>
      <c r="R21" s="35" t="n"/>
    </row>
    <row r="22" ht="5.1" customHeight="1">
      <c r="B22" s="42" t="n"/>
      <c r="C22" s="42" t="n"/>
      <c r="D22" s="42" t="n"/>
      <c r="E22" s="42" t="n"/>
      <c r="F22" s="42" t="n"/>
      <c r="H22" s="42" t="n"/>
      <c r="I22" s="42" t="n"/>
      <c r="J22" s="42" t="n"/>
      <c r="K22" s="42" t="n"/>
      <c r="L22" s="42" t="n"/>
      <c r="M22" s="27" t="n"/>
      <c r="N22" s="30" t="n"/>
      <c r="O22" s="30" t="n"/>
      <c r="Q22" s="35" t="n"/>
      <c r="R22" s="35" t="n"/>
    </row>
    <row r="23" ht="5.1" customFormat="1" customHeight="1" s="30">
      <c r="B23" s="27" t="n"/>
      <c r="C23" s="27" t="n"/>
      <c r="D23" s="27" t="n"/>
      <c r="E23" s="27" t="n"/>
      <c r="F23" s="27" t="n"/>
      <c r="H23" s="27" t="n"/>
      <c r="I23" s="27" t="n"/>
      <c r="J23" s="27" t="n"/>
      <c r="K23" s="27" t="n"/>
      <c r="L23" s="27" t="n"/>
      <c r="M23" s="27" t="n"/>
      <c r="Q23" s="35" t="n"/>
      <c r="R23" s="35" t="n"/>
    </row>
    <row r="24">
      <c r="B24" s="37" t="inlineStr">
        <is>
          <t>Cash</t>
        </is>
      </c>
      <c r="C24" s="38" t="n">
        <v>35934</v>
      </c>
      <c r="D24" s="38" t="n">
        <v>1481</v>
      </c>
      <c r="E24" s="38" t="n">
        <v>2114</v>
      </c>
      <c r="F24" s="38" t="n">
        <v>1481</v>
      </c>
      <c r="H24" s="37" t="inlineStr">
        <is>
          <t>Revenue 2024</t>
        </is>
      </c>
      <c r="I24" s="38" t="n">
        <v>391035</v>
      </c>
      <c r="J24" s="38" t="n">
        <v>25111</v>
      </c>
      <c r="K24" s="38" t="n">
        <v>6317</v>
      </c>
      <c r="L24" s="38" t="n">
        <v>6663</v>
      </c>
    </row>
    <row r="25">
      <c r="B25" s="37" t="inlineStr">
        <is>
          <t>Accounts receivable</t>
        </is>
      </c>
      <c r="C25" s="38" t="n">
        <v>39777</v>
      </c>
      <c r="D25" s="38" t="n">
        <v>1068</v>
      </c>
      <c r="E25" s="38" t="n">
        <v>1486</v>
      </c>
      <c r="F25" s="38" t="n">
        <v>1068</v>
      </c>
      <c r="H25" s="37" t="inlineStr">
        <is>
          <t>Revenue 2025</t>
        </is>
      </c>
      <c r="I25" s="38" t="n">
        <v>416161</v>
      </c>
      <c r="J25" s="38" t="n">
        <v>37378</v>
      </c>
      <c r="K25" s="38" t="n">
        <v>9520</v>
      </c>
      <c r="L25" s="38" t="n">
        <v>7355</v>
      </c>
    </row>
    <row r="26">
      <c r="B26" s="37" t="inlineStr">
        <is>
          <t>Total Assets</t>
        </is>
      </c>
      <c r="C26" s="38" t="n">
        <v>359241</v>
      </c>
      <c r="D26" s="38" t="n">
        <v>12985</v>
      </c>
      <c r="E26" s="38" t="n">
        <v>14002</v>
      </c>
      <c r="F26" s="38" t="n">
        <v>12985</v>
      </c>
      <c r="H26" s="37" t="inlineStr">
        <is>
          <t>COGS</t>
        </is>
      </c>
      <c r="I26" s="38" t="n">
        <v>235478</v>
      </c>
      <c r="J26" s="38" t="n">
        <v>31765</v>
      </c>
      <c r="K26" s="38" t="n">
        <v>7747</v>
      </c>
      <c r="L26" s="38" t="n">
        <v>6283</v>
      </c>
    </row>
    <row r="27">
      <c r="B27" s="37" t="inlineStr">
        <is>
          <t>Current assets</t>
        </is>
      </c>
      <c r="C27" s="38" t="n">
        <v>147957</v>
      </c>
      <c r="D27" s="38" t="n">
        <v>5086</v>
      </c>
      <c r="E27" s="38" t="n">
        <v>5856</v>
      </c>
      <c r="F27" s="38" t="n">
        <v>5086</v>
      </c>
      <c r="H27" s="37" t="inlineStr">
        <is>
          <t xml:space="preserve">Gross Profit </t>
        </is>
      </c>
      <c r="I27" s="38" t="n">
        <v>180683</v>
      </c>
      <c r="J27" s="38" t="n">
        <v>5613</v>
      </c>
      <c r="K27" s="38" t="n">
        <v>1773</v>
      </c>
      <c r="L27" s="38" t="n">
        <v>1072</v>
      </c>
    </row>
    <row r="28">
      <c r="B28" s="37" t="inlineStr">
        <is>
          <t>Accounts payable</t>
        </is>
      </c>
      <c r="C28" s="38" t="n">
        <v>69860</v>
      </c>
      <c r="D28" s="38" t="n">
        <v>766</v>
      </c>
      <c r="E28" s="38" t="n">
        <v>1266</v>
      </c>
      <c r="F28" s="38" t="n">
        <v>766</v>
      </c>
      <c r="H28" s="37" t="inlineStr">
        <is>
          <t>EBITDA</t>
        </is>
      </c>
      <c r="I28" s="38" t="n">
        <v>136661</v>
      </c>
      <c r="J28" s="38" t="n">
        <v>9224</v>
      </c>
      <c r="K28" s="38" t="n">
        <v>206</v>
      </c>
      <c r="L28" s="38" t="inlineStr">
        <is>
          <t>#N/A N/A</t>
        </is>
      </c>
    </row>
    <row r="29">
      <c r="B29" s="37" t="inlineStr">
        <is>
          <t>Current liabilities</t>
        </is>
      </c>
      <c r="C29" s="38" t="n">
        <v>165631</v>
      </c>
      <c r="D29" s="38" t="n">
        <v>1427</v>
      </c>
      <c r="E29" s="38" t="n">
        <v>5418</v>
      </c>
      <c r="F29" s="38" t="n">
        <v>1427</v>
      </c>
      <c r="H29" s="37" t="inlineStr">
        <is>
          <t>EBIT</t>
        </is>
      </c>
      <c r="I29" s="38" t="n">
        <v>123216</v>
      </c>
      <c r="J29" s="38" t="n">
        <v>1304</v>
      </c>
      <c r="K29" s="38" t="n">
        <v>-403</v>
      </c>
      <c r="L29" s="38" t="n">
        <v>-468</v>
      </c>
    </row>
    <row r="30">
      <c r="B30" s="37" t="inlineStr">
        <is>
          <t>Long-term debt</t>
        </is>
      </c>
      <c r="C30" s="38" t="n">
        <v>89931</v>
      </c>
      <c r="D30" s="38" t="n">
        <v>2022</v>
      </c>
      <c r="E30" s="38" t="n">
        <v>2595</v>
      </c>
      <c r="F30" s="38" t="n">
        <v>2022</v>
      </c>
      <c r="H30" s="37" t="inlineStr">
        <is>
          <t>Tax expense</t>
        </is>
      </c>
      <c r="I30" s="38" t="n">
        <v>29749</v>
      </c>
      <c r="J30" s="38" t="n">
        <v>451</v>
      </c>
      <c r="K30" s="38" t="n">
        <v>26</v>
      </c>
      <c r="L30" s="38" t="n">
        <v>169</v>
      </c>
    </row>
    <row r="31">
      <c r="B31" s="37" t="inlineStr">
        <is>
          <t>Total Liabilities</t>
        </is>
      </c>
      <c r="C31" s="38" t="n">
        <v>285508</v>
      </c>
      <c r="D31" s="38" t="n">
        <v>3769</v>
      </c>
      <c r="E31" s="38" t="n">
        <v>8462</v>
      </c>
      <c r="F31" s="38" t="n">
        <v>3769</v>
      </c>
      <c r="H31" s="37" t="inlineStr">
        <is>
          <t>Net income</t>
        </is>
      </c>
      <c r="I31" s="38" t="n">
        <v>93736</v>
      </c>
      <c r="J31" s="38" t="n">
        <v>778</v>
      </c>
      <c r="K31" s="38" t="n">
        <v>-798</v>
      </c>
      <c r="L31" s="38" t="n">
        <v>-672</v>
      </c>
    </row>
    <row r="32">
      <c r="B32" s="37" t="n"/>
      <c r="C32" s="38" t="n"/>
      <c r="D32" s="38" t="n"/>
      <c r="E32" s="38" t="n"/>
      <c r="F32" s="38" t="n"/>
      <c r="G32" s="260" t="n"/>
    </row>
    <row r="33">
      <c r="B33" s="37" t="n"/>
      <c r="C33" s="38" t="n"/>
      <c r="D33" s="38" t="n"/>
      <c r="E33" s="38" t="n"/>
      <c r="F33" s="38" t="n"/>
      <c r="G33" s="36" t="n"/>
    </row>
    <row r="34" ht="4.5" customFormat="1" customHeight="1" s="30">
      <c r="G34" s="36" t="n"/>
    </row>
    <row r="35">
      <c r="G35" s="40" t="n"/>
    </row>
    <row r="36">
      <c r="G36" s="40" t="n"/>
    </row>
    <row r="37">
      <c r="G37" s="40" t="n"/>
    </row>
    <row r="38">
      <c r="G38" s="40" t="n"/>
    </row>
    <row r="39">
      <c r="G39" s="40" t="n"/>
    </row>
    <row r="40">
      <c r="G40" s="40" t="n"/>
    </row>
    <row r="41">
      <c r="G41" s="40" t="n"/>
    </row>
    <row r="42">
      <c r="G42" s="40" t="n"/>
    </row>
    <row r="43">
      <c r="G43" s="40" t="n"/>
    </row>
    <row r="44">
      <c r="G44" s="40" t="n"/>
    </row>
    <row r="45">
      <c r="B45" s="37" t="n"/>
      <c r="C45" s="261" t="n"/>
      <c r="D45" s="261" t="n"/>
      <c r="E45" s="261" t="n"/>
      <c r="F45" s="261" t="n"/>
      <c r="G45" s="261" t="n"/>
    </row>
  </sheetData>
  <conditionalFormatting sqref="C5:C9">
    <cfRule type="colorScale" priority="30">
      <colorScale>
        <cfvo type="min"/>
        <cfvo type="max"/>
        <color theme="4" tint="0.7999816888943144"/>
        <color theme="4" tint="0.3999755851924192"/>
      </colorScale>
    </cfRule>
  </conditionalFormatting>
  <conditionalFormatting sqref="C14:C17">
    <cfRule type="colorScale" priority="22">
      <colorScale>
        <cfvo type="min"/>
        <cfvo type="max"/>
        <color theme="4" tint="0.7999816888943144"/>
        <color theme="4" tint="0.3999755851924192"/>
      </colorScale>
    </cfRule>
  </conditionalFormatting>
  <conditionalFormatting sqref="C24:F24">
    <cfRule type="colorScale" priority="10">
      <colorScale>
        <cfvo type="min"/>
        <cfvo type="max"/>
        <color theme="4" tint="0.7999816888943144"/>
        <color theme="4" tint="0.3999755851924192"/>
      </colorScale>
    </cfRule>
  </conditionalFormatting>
  <conditionalFormatting sqref="C25:F25">
    <cfRule type="colorScale" priority="9">
      <colorScale>
        <cfvo type="min"/>
        <cfvo type="max"/>
        <color theme="4" tint="0.7999816888943144"/>
        <color theme="4" tint="0.3999755851924192"/>
      </colorScale>
    </cfRule>
  </conditionalFormatting>
  <conditionalFormatting sqref="C26:F26">
    <cfRule type="colorScale" priority="8">
      <colorScale>
        <cfvo type="min"/>
        <cfvo type="max"/>
        <color theme="4" tint="0.7999816888943144"/>
        <color theme="4" tint="0.3999755851924192"/>
      </colorScale>
    </cfRule>
  </conditionalFormatting>
  <conditionalFormatting sqref="C27:F27">
    <cfRule type="colorScale" priority="7">
      <colorScale>
        <cfvo type="min"/>
        <cfvo type="max"/>
        <color theme="4" tint="0.7999816888943144"/>
        <color theme="4" tint="0.3999755851924192"/>
      </colorScale>
    </cfRule>
  </conditionalFormatting>
  <conditionalFormatting sqref="C28:F28">
    <cfRule type="colorScale" priority="6">
      <colorScale>
        <cfvo type="min"/>
        <cfvo type="max"/>
        <color theme="4" tint="0.7999816888943144"/>
        <color theme="4" tint="0.3999755851924192"/>
      </colorScale>
    </cfRule>
  </conditionalFormatting>
  <conditionalFormatting sqref="C29:F29">
    <cfRule type="colorScale" priority="5">
      <colorScale>
        <cfvo type="min"/>
        <cfvo type="max"/>
        <color theme="4" tint="0.7999816888943144"/>
        <color theme="4" tint="0.3999755851924192"/>
      </colorScale>
    </cfRule>
  </conditionalFormatting>
  <conditionalFormatting sqref="C30:F30">
    <cfRule type="colorScale" priority="4">
      <colorScale>
        <cfvo type="min"/>
        <cfvo type="max"/>
        <color theme="4" tint="0.7999816888943144"/>
        <color theme="4" tint="0.3999755851924192"/>
      </colorScale>
    </cfRule>
  </conditionalFormatting>
  <conditionalFormatting sqref="C31:F31">
    <cfRule type="colorScale" priority="3">
      <colorScale>
        <cfvo type="min"/>
        <cfvo type="max"/>
        <color theme="4" tint="0.7999816888943144"/>
        <color theme="4" tint="0.3999755851924192"/>
      </colorScale>
    </cfRule>
  </conditionalFormatting>
  <conditionalFormatting sqref="C32:F32">
    <cfRule type="colorScale" priority="2">
      <colorScale>
        <cfvo type="min"/>
        <cfvo type="max"/>
        <color theme="4" tint="0.7999816888943144"/>
        <color theme="4" tint="0.3999755851924192"/>
      </colorScale>
    </cfRule>
  </conditionalFormatting>
  <conditionalFormatting sqref="C33:F33">
    <cfRule type="colorScale" priority="1">
      <colorScale>
        <cfvo type="min"/>
        <cfvo type="max"/>
        <color theme="4" tint="0.7999816888943144"/>
        <color theme="4" tint="0.3999755851924192"/>
      </colorScale>
    </cfRule>
  </conditionalFormatting>
  <conditionalFormatting sqref="D5:D9">
    <cfRule type="colorScale" priority="29">
      <colorScale>
        <cfvo type="min"/>
        <cfvo type="max"/>
        <color theme="4" tint="0.7999816888943144"/>
        <color theme="4" tint="0.3999755851924192"/>
      </colorScale>
    </cfRule>
  </conditionalFormatting>
  <conditionalFormatting sqref="D14:D17">
    <cfRule type="colorScale" priority="21">
      <colorScale>
        <cfvo type="min"/>
        <cfvo type="max"/>
        <color theme="4" tint="0.7999816888943144"/>
        <color theme="4" tint="0.3999755851924192"/>
      </colorScale>
    </cfRule>
  </conditionalFormatting>
  <conditionalFormatting sqref="E5:E9">
    <cfRule type="colorScale" priority="28">
      <colorScale>
        <cfvo type="min"/>
        <cfvo type="max"/>
        <color theme="4" tint="0.7999816888943144"/>
        <color theme="4" tint="0.3999755851924192"/>
      </colorScale>
    </cfRule>
  </conditionalFormatting>
  <conditionalFormatting sqref="E14:E17">
    <cfRule type="colorScale" priority="20">
      <colorScale>
        <cfvo type="min"/>
        <cfvo type="max"/>
        <color theme="4" tint="0.7999816888943144"/>
        <color theme="4" tint="0.3999755851924192"/>
      </colorScale>
    </cfRule>
  </conditionalFormatting>
  <conditionalFormatting sqref="F5:F9">
    <cfRule type="colorScale" priority="27">
      <colorScale>
        <cfvo type="min"/>
        <cfvo type="max"/>
        <color theme="4" tint="0.7999816888943144"/>
        <color theme="4" tint="0.3999755851924192"/>
      </colorScale>
    </cfRule>
  </conditionalFormatting>
  <conditionalFormatting sqref="F14:F17">
    <cfRule type="colorScale" priority="19">
      <colorScale>
        <cfvo type="min"/>
        <cfvo type="max"/>
        <color theme="4" tint="0.7999816888943144"/>
        <color theme="4" tint="0.3999755851924192"/>
      </colorScale>
    </cfRule>
  </conditionalFormatting>
  <conditionalFormatting sqref="G5:G9">
    <cfRule type="colorScale" priority="26">
      <colorScale>
        <cfvo type="min"/>
        <cfvo type="max"/>
        <color theme="4" tint="0.7999816888943144"/>
        <color theme="4" tint="0.3999755851924192"/>
      </colorScale>
    </cfRule>
  </conditionalFormatting>
  <conditionalFormatting sqref="H5:H9">
    <cfRule type="colorScale" priority="25">
      <colorScale>
        <cfvo type="min"/>
        <cfvo type="max"/>
        <color theme="4" tint="0.7999816888943144"/>
        <color theme="4" tint="0.3999755851924192"/>
      </colorScale>
    </cfRule>
  </conditionalFormatting>
  <conditionalFormatting sqref="I5:I9">
    <cfRule type="colorScale" priority="24">
      <colorScale>
        <cfvo type="min"/>
        <cfvo type="max"/>
        <color theme="4" tint="0.7999816888943144"/>
        <color theme="4" tint="0.3999755851924192"/>
      </colorScale>
    </cfRule>
  </conditionalFormatting>
  <conditionalFormatting sqref="I26:L26">
    <cfRule type="colorScale" priority="16">
      <colorScale>
        <cfvo type="min"/>
        <cfvo type="max"/>
        <color theme="4" tint="0.7999816888943144"/>
        <color theme="4" tint="0.3999755851924192"/>
      </colorScale>
    </cfRule>
  </conditionalFormatting>
  <conditionalFormatting sqref="I27:L27">
    <cfRule type="colorScale" priority="15">
      <colorScale>
        <cfvo type="min"/>
        <cfvo type="max"/>
        <color theme="4" tint="0.7999816888943144"/>
        <color theme="4" tint="0.3999755851924192"/>
      </colorScale>
    </cfRule>
  </conditionalFormatting>
  <conditionalFormatting sqref="I28:L28">
    <cfRule type="colorScale" priority="14">
      <colorScale>
        <cfvo type="min"/>
        <cfvo type="max"/>
        <color theme="4" tint="0.7999816888943144"/>
        <color theme="4" tint="0.3999755851924192"/>
      </colorScale>
    </cfRule>
  </conditionalFormatting>
  <conditionalFormatting sqref="I29:L29">
    <cfRule type="colorScale" priority="13">
      <colorScale>
        <cfvo type="min"/>
        <cfvo type="max"/>
        <color theme="4" tint="0.7999816888943144"/>
        <color theme="4" tint="0.3999755851924192"/>
      </colorScale>
    </cfRule>
  </conditionalFormatting>
  <conditionalFormatting sqref="I30:L30">
    <cfRule type="colorScale" priority="12">
      <colorScale>
        <cfvo type="min"/>
        <cfvo type="max"/>
        <color theme="4" tint="0.7999816888943144"/>
        <color theme="4" tint="0.3999755851924192"/>
      </colorScale>
    </cfRule>
  </conditionalFormatting>
  <conditionalFormatting sqref="I31:L31">
    <cfRule type="colorScale" priority="11">
      <colorScale>
        <cfvo type="min"/>
        <cfvo type="max"/>
        <color theme="4" tint="0.7999816888943144"/>
        <color theme="4" tint="0.3999755851924192"/>
      </colorScale>
    </cfRule>
  </conditionalFormatting>
  <conditionalFormatting sqref="J5:J9">
    <cfRule type="colorScale" priority="23">
      <colorScale>
        <cfvo type="min"/>
        <cfvo type="max"/>
        <color theme="4" tint="0.7999816888943144"/>
        <color theme="4" tint="0.399975585192419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S27"/>
  <sheetViews>
    <sheetView showGridLines="0" zoomScale="85" zoomScaleNormal="85" workbookViewId="0">
      <selection activeCell="F11" sqref="F11"/>
    </sheetView>
  </sheetViews>
  <sheetFormatPr baseColWidth="8" defaultRowHeight="15"/>
  <cols>
    <col width="3.5703125" customWidth="1" style="51" min="1" max="1"/>
    <col width="28.85546875" bestFit="1" customWidth="1" style="51" min="2" max="2"/>
    <col width="2.140625" customWidth="1" style="51" min="3" max="3"/>
    <col width="9.85546875" customWidth="1" style="51" min="4" max="13"/>
    <col width="4.42578125" customWidth="1" style="51" min="14" max="14"/>
    <col width="24.140625" customWidth="1" style="51" min="15" max="15"/>
    <col width="3.85546875" customWidth="1" style="51" min="16" max="16"/>
    <col width="9.85546875" customWidth="1" style="51" min="17" max="21"/>
    <col width="9.140625" customWidth="1" style="51" min="22" max="16378"/>
    <col width="9.140625" bestFit="1" customWidth="1" style="51" min="16379" max="16379"/>
    <col width="9.140625" customWidth="1" style="51" min="16380" max="16384"/>
  </cols>
  <sheetData>
    <row r="2" ht="15.75" customHeight="1">
      <c r="B2" s="47" t="inlineStr">
        <is>
          <t>Segments</t>
        </is>
      </c>
      <c r="C2" s="48" t="n"/>
      <c r="D2" s="49" t="n"/>
      <c r="E2" s="262" t="n"/>
      <c r="F2" s="262" t="n"/>
      <c r="G2" s="262" t="n"/>
      <c r="H2" s="262" t="n"/>
      <c r="I2" s="262" t="n"/>
      <c r="J2" s="262" t="n"/>
      <c r="K2" s="262" t="n"/>
      <c r="L2" s="262" t="n"/>
      <c r="M2" s="262" t="n"/>
      <c r="O2" s="47" t="inlineStr">
        <is>
          <t>Regions</t>
        </is>
      </c>
      <c r="P2" s="52" t="n"/>
      <c r="Q2" s="52" t="n"/>
      <c r="R2" s="52" t="n"/>
      <c r="S2" s="52" t="n"/>
      <c r="T2" s="52" t="n"/>
      <c r="U2" s="52" t="n"/>
    </row>
    <row r="3" ht="15.75" customHeight="1">
      <c r="B3" s="52" t="n"/>
      <c r="C3" s="48" t="n"/>
      <c r="D3" s="53" t="n">
        <v>2021</v>
      </c>
      <c r="E3" s="53">
        <f>D3+1</f>
        <v/>
      </c>
      <c r="F3" s="53">
        <f>E3+1</f>
        <v/>
      </c>
      <c r="G3" s="53">
        <f>F3+1</f>
        <v/>
      </c>
      <c r="H3" s="53">
        <f>G3+1</f>
        <v/>
      </c>
      <c r="I3" s="53">
        <f>H3+1</f>
        <v/>
      </c>
      <c r="J3" s="53">
        <f>I3+1</f>
        <v/>
      </c>
      <c r="K3" s="53">
        <f>J3+1</f>
        <v/>
      </c>
      <c r="L3" s="53">
        <f>K3+1</f>
        <v/>
      </c>
      <c r="M3" s="53">
        <f>L3+1</f>
        <v/>
      </c>
      <c r="O3" s="52" t="n"/>
      <c r="P3" s="52" t="n"/>
      <c r="Q3" s="53" t="n">
        <v>2021</v>
      </c>
      <c r="R3" s="53">
        <f>Q3+1</f>
        <v/>
      </c>
      <c r="S3" s="53">
        <f>R3+1</f>
        <v/>
      </c>
      <c r="T3" s="53">
        <f>S3+1</f>
        <v/>
      </c>
      <c r="U3" s="53">
        <f>T3+1</f>
        <v/>
      </c>
    </row>
    <row r="4" ht="15.75" customHeight="1">
      <c r="B4" s="52" t="n"/>
      <c r="C4" s="48" t="n"/>
      <c r="D4" s="54" t="inlineStr">
        <is>
          <t>FY</t>
        </is>
      </c>
      <c r="E4" s="54" t="inlineStr">
        <is>
          <t>FY</t>
        </is>
      </c>
      <c r="F4" s="54" t="inlineStr">
        <is>
          <t>FY</t>
        </is>
      </c>
      <c r="G4" s="54" t="inlineStr">
        <is>
          <t>FY</t>
        </is>
      </c>
      <c r="H4" s="54" t="inlineStr">
        <is>
          <t>FY</t>
        </is>
      </c>
      <c r="I4" s="54" t="inlineStr">
        <is>
          <t>FY</t>
        </is>
      </c>
      <c r="J4" s="54" t="inlineStr">
        <is>
          <t>FY</t>
        </is>
      </c>
      <c r="K4" s="54" t="inlineStr">
        <is>
          <t>FY</t>
        </is>
      </c>
      <c r="L4" s="54" t="inlineStr">
        <is>
          <t>FY</t>
        </is>
      </c>
      <c r="M4" s="54" t="inlineStr">
        <is>
          <t>FY</t>
        </is>
      </c>
      <c r="O4" s="52" t="n"/>
      <c r="P4" s="52" t="n"/>
      <c r="Q4" s="54" t="inlineStr">
        <is>
          <t>FY</t>
        </is>
      </c>
      <c r="R4" s="54" t="inlineStr">
        <is>
          <t>FY</t>
        </is>
      </c>
      <c r="S4" s="54" t="inlineStr">
        <is>
          <t>FY</t>
        </is>
      </c>
      <c r="T4" s="54" t="inlineStr">
        <is>
          <t>FY</t>
        </is>
      </c>
      <c r="U4" s="54" t="inlineStr">
        <is>
          <t>FY</t>
        </is>
      </c>
    </row>
    <row r="5" ht="15.75" customHeight="1">
      <c r="B5" s="55" t="n"/>
      <c r="C5" s="56" t="n"/>
      <c r="D5" s="57" t="n"/>
      <c r="E5" s="263" t="n"/>
      <c r="F5" s="263" t="n"/>
      <c r="G5" s="263" t="n"/>
      <c r="H5" s="264" t="n"/>
      <c r="I5" s="263" t="n"/>
      <c r="J5" s="263" t="n"/>
      <c r="K5" s="263" t="n"/>
      <c r="L5" s="263" t="n"/>
      <c r="M5" s="263" t="n"/>
      <c r="O5" s="60" t="n"/>
      <c r="P5" s="60" t="n"/>
      <c r="Q5" s="60" t="n"/>
      <c r="R5" s="60" t="n"/>
      <c r="S5" s="60" t="n"/>
      <c r="T5" s="60" t="n"/>
      <c r="U5" s="60" t="n"/>
    </row>
    <row r="6">
      <c r="B6" s="61" t="inlineStr">
        <is>
          <t>Segment 1</t>
        </is>
      </c>
      <c r="D6" s="62" t="n"/>
      <c r="E6" s="62" t="n"/>
      <c r="F6" s="62" t="n"/>
      <c r="G6" s="62" t="n"/>
      <c r="H6" s="63" t="n"/>
      <c r="I6" s="62">
        <f>H6*(1+I7)</f>
        <v/>
      </c>
      <c r="J6" s="62">
        <f>I6*(1+J7)</f>
        <v/>
      </c>
      <c r="K6" s="62">
        <f>J6*(1+K7)</f>
        <v/>
      </c>
      <c r="L6" s="62">
        <f>K6*(1+L7)</f>
        <v/>
      </c>
      <c r="M6" s="62">
        <f>L6*(1+M7)</f>
        <v/>
      </c>
      <c r="O6" s="61" t="inlineStr">
        <is>
          <t>United States</t>
        </is>
      </c>
      <c r="Q6" s="62" t="n"/>
      <c r="R6" s="62" t="n"/>
      <c r="S6" s="62" t="n"/>
      <c r="T6" s="62" t="n"/>
      <c r="U6" s="62" t="n"/>
    </row>
    <row r="7">
      <c r="B7" s="64" t="inlineStr">
        <is>
          <t>% Growth</t>
        </is>
      </c>
      <c r="C7" s="65" t="n"/>
      <c r="D7" s="66" t="n"/>
      <c r="E7" s="66">
        <f>E6/D6-1</f>
        <v/>
      </c>
      <c r="F7" s="66">
        <f>F6/E6-1</f>
        <v/>
      </c>
      <c r="G7" s="66">
        <f>G6/F6-1</f>
        <v/>
      </c>
      <c r="H7" s="67">
        <f>H6/G6-1</f>
        <v/>
      </c>
      <c r="I7" s="68" t="n"/>
      <c r="J7" s="68" t="n"/>
      <c r="K7" s="68" t="n"/>
      <c r="L7" s="68" t="n"/>
      <c r="M7" s="68" t="n"/>
      <c r="O7" s="61" t="inlineStr">
        <is>
          <t>Taiwan</t>
        </is>
      </c>
      <c r="Q7" s="62" t="n"/>
      <c r="R7" s="62" t="n"/>
      <c r="S7" s="62" t="n"/>
      <c r="T7" s="62" t="n"/>
      <c r="U7" s="62" t="n"/>
    </row>
    <row r="8">
      <c r="B8" s="69" t="inlineStr">
        <is>
          <t>% Total</t>
        </is>
      </c>
      <c r="D8" s="66">
        <f>D$6/D$18</f>
        <v/>
      </c>
      <c r="E8" s="66">
        <f>E$6/E$18</f>
        <v/>
      </c>
      <c r="F8" s="66">
        <f>F$6/F$18</f>
        <v/>
      </c>
      <c r="G8" s="66">
        <f>G$6/G$18</f>
        <v/>
      </c>
      <c r="H8" s="67">
        <f>H$6/H$18</f>
        <v/>
      </c>
      <c r="I8" s="66">
        <f>I$6/I$18</f>
        <v/>
      </c>
      <c r="J8" s="66">
        <f>J$6/J$18</f>
        <v/>
      </c>
      <c r="K8" s="66">
        <f>K$6/K$18</f>
        <v/>
      </c>
      <c r="L8" s="66">
        <f>L$6/L$18</f>
        <v/>
      </c>
      <c r="M8" s="66">
        <f>M$6/M$18</f>
        <v/>
      </c>
      <c r="O8" s="61" t="inlineStr">
        <is>
          <t>Japan</t>
        </is>
      </c>
      <c r="Q8" s="62" t="n"/>
      <c r="R8" s="62" t="n"/>
      <c r="S8" s="62" t="n"/>
      <c r="T8" s="62" t="n"/>
      <c r="U8" s="62" t="n"/>
    </row>
    <row r="9">
      <c r="B9" s="69" t="n"/>
      <c r="D9" s="66" t="n"/>
      <c r="E9" s="66" t="n"/>
      <c r="F9" s="66" t="n"/>
      <c r="G9" s="66" t="n"/>
      <c r="H9" s="67" t="n"/>
      <c r="I9" s="66" t="n"/>
      <c r="J9" s="66" t="n"/>
      <c r="K9" s="66" t="n"/>
      <c r="L9" s="66" t="n"/>
      <c r="M9" s="66" t="n"/>
      <c r="O9" s="69" t="n"/>
      <c r="Q9" s="62" t="n"/>
      <c r="R9" s="62" t="n"/>
      <c r="S9" s="62" t="n"/>
      <c r="T9" s="62" t="n"/>
      <c r="U9" s="62" t="n"/>
    </row>
    <row r="10">
      <c r="B10" s="61" t="inlineStr">
        <is>
          <t>Segment 2</t>
        </is>
      </c>
      <c r="D10" s="62" t="n"/>
      <c r="E10" s="62" t="n"/>
      <c r="F10" s="62" t="n"/>
      <c r="G10" s="62" t="n"/>
      <c r="H10" s="63" t="n"/>
      <c r="I10" s="62">
        <f>H10*(1+I11)</f>
        <v/>
      </c>
      <c r="J10" s="62">
        <f>I10*(1+J11)</f>
        <v/>
      </c>
      <c r="K10" s="62">
        <f>J10*(1+K11)</f>
        <v/>
      </c>
      <c r="L10" s="62">
        <f>K10*(1+L11)</f>
        <v/>
      </c>
      <c r="M10" s="62">
        <f>L10*(1+M11)</f>
        <v/>
      </c>
      <c r="O10" s="61" t="inlineStr">
        <is>
          <t>Other</t>
        </is>
      </c>
      <c r="Q10" s="62" t="n"/>
      <c r="R10" s="62" t="n"/>
      <c r="S10" s="62" t="n"/>
      <c r="T10" s="62" t="n"/>
      <c r="U10" s="62" t="n"/>
    </row>
    <row r="11">
      <c r="B11" s="69" t="inlineStr">
        <is>
          <t>% Growth</t>
        </is>
      </c>
      <c r="D11" s="66" t="n"/>
      <c r="E11" s="66">
        <f>E10/D10-1</f>
        <v/>
      </c>
      <c r="F11" s="66">
        <f>F10/E10-1</f>
        <v/>
      </c>
      <c r="G11" s="66">
        <f>G10/F10-1</f>
        <v/>
      </c>
      <c r="H11" s="67">
        <f>H10/G10-1</f>
        <v/>
      </c>
      <c r="I11" s="68" t="n"/>
      <c r="J11" s="68" t="n"/>
      <c r="K11" s="68" t="n"/>
      <c r="L11" s="68" t="n"/>
      <c r="M11" s="68" t="n"/>
      <c r="O11" s="61" t="inlineStr">
        <is>
          <t>Other Asia Pacific</t>
        </is>
      </c>
      <c r="Q11" s="62" t="n"/>
      <c r="R11" s="62" t="n"/>
      <c r="S11" s="62" t="n"/>
      <c r="T11" s="62" t="n"/>
      <c r="U11" s="62" t="n"/>
    </row>
    <row r="12">
      <c r="B12" s="69" t="inlineStr">
        <is>
          <t>% Total</t>
        </is>
      </c>
      <c r="D12" s="66">
        <f>D$10/D$18</f>
        <v/>
      </c>
      <c r="E12" s="66">
        <f>E$10/E$18</f>
        <v/>
      </c>
      <c r="F12" s="66">
        <f>F$10/F$18</f>
        <v/>
      </c>
      <c r="G12" s="66">
        <f>G$10/G$18</f>
        <v/>
      </c>
      <c r="H12" s="67">
        <f>H$10/H$18</f>
        <v/>
      </c>
      <c r="I12" s="66">
        <f>I$10/I$18</f>
        <v/>
      </c>
      <c r="J12" s="66">
        <f>J$10/J$18</f>
        <v/>
      </c>
      <c r="K12" s="66">
        <f>K$10/K$18</f>
        <v/>
      </c>
      <c r="L12" s="66">
        <f>L$10/L$18</f>
        <v/>
      </c>
      <c r="M12" s="66">
        <f>M$10/M$18</f>
        <v/>
      </c>
      <c r="O12" s="61" t="inlineStr">
        <is>
          <t>Hong Kong</t>
        </is>
      </c>
      <c r="Q12" s="62" t="n"/>
      <c r="R12" s="62" t="n"/>
      <c r="S12" s="62" t="n"/>
      <c r="T12" s="62" t="n"/>
      <c r="U12" s="62" t="n"/>
    </row>
    <row r="13">
      <c r="B13" s="69" t="n"/>
      <c r="D13" s="66" t="n"/>
      <c r="E13" s="66" t="n"/>
      <c r="F13" s="66" t="n"/>
      <c r="G13" s="66" t="n"/>
      <c r="H13" s="67" t="n"/>
      <c r="I13" s="66" t="n"/>
      <c r="J13" s="66" t="n"/>
      <c r="K13" s="66" t="n"/>
      <c r="L13" s="66" t="n"/>
      <c r="M13" s="66" t="n"/>
      <c r="O13" s="69" t="n"/>
      <c r="Q13" s="62" t="n"/>
      <c r="R13" s="62" t="n"/>
      <c r="S13" s="62" t="n"/>
      <c r="T13" s="62" t="n"/>
      <c r="U13" s="62" t="n"/>
    </row>
    <row r="14">
      <c r="B14" s="61" t="inlineStr">
        <is>
          <t>Segment 3</t>
        </is>
      </c>
      <c r="D14" s="62" t="n"/>
      <c r="E14" s="62" t="n"/>
      <c r="F14" s="62" t="n"/>
      <c r="G14" s="62" t="n"/>
      <c r="H14" s="63" t="n"/>
      <c r="I14" s="62">
        <f>H14*(1+I15)</f>
        <v/>
      </c>
      <c r="J14" s="62">
        <f>I14*(1+J15)</f>
        <v/>
      </c>
      <c r="K14" s="62">
        <f>J14*(1+K15)</f>
        <v/>
      </c>
      <c r="L14" s="62">
        <f>K14*(1+L15)</f>
        <v/>
      </c>
      <c r="M14" s="62">
        <f>L14*(1+M15)</f>
        <v/>
      </c>
      <c r="O14" s="61" t="inlineStr">
        <is>
          <t>Mainland China</t>
        </is>
      </c>
      <c r="Q14" s="62" t="n"/>
      <c r="R14" s="62" t="n"/>
      <c r="S14" s="62" t="n"/>
      <c r="T14" s="62" t="n"/>
      <c r="U14" s="62" t="n"/>
    </row>
    <row r="15">
      <c r="B15" s="69" t="inlineStr">
        <is>
          <t>% Growth</t>
        </is>
      </c>
      <c r="D15" s="66" t="n"/>
      <c r="E15" s="66">
        <f>E14/D14-1</f>
        <v/>
      </c>
      <c r="F15" s="66">
        <f>F14/E14-1</f>
        <v/>
      </c>
      <c r="G15" s="66">
        <f>G14/F14-1</f>
        <v/>
      </c>
      <c r="H15" s="67">
        <f>H14/G14-1</f>
        <v/>
      </c>
      <c r="I15" s="68" t="n"/>
      <c r="J15" s="68" t="n"/>
      <c r="K15" s="68" t="n"/>
      <c r="L15" s="68" t="n"/>
      <c r="M15" s="68" t="n"/>
      <c r="O15" s="61" t="inlineStr">
        <is>
          <t>Europe</t>
        </is>
      </c>
      <c r="Q15" s="62" t="n"/>
      <c r="R15" s="62" t="n"/>
      <c r="S15" s="62" t="n"/>
      <c r="T15" s="62" t="n"/>
      <c r="U15" s="62" t="n"/>
    </row>
    <row r="16">
      <c r="B16" s="69" t="inlineStr">
        <is>
          <t>% Total</t>
        </is>
      </c>
      <c r="D16" s="66">
        <f>D$14/D$18</f>
        <v/>
      </c>
      <c r="E16" s="66">
        <f>E$14/E$18</f>
        <v/>
      </c>
      <c r="F16" s="66">
        <f>F$14/F$18</f>
        <v/>
      </c>
      <c r="G16" s="66">
        <f>G$14/G$18</f>
        <v/>
      </c>
      <c r="H16" s="67">
        <f>H$14/H$18</f>
        <v/>
      </c>
      <c r="I16" s="66">
        <f>I$14/I$18</f>
        <v/>
      </c>
      <c r="J16" s="66">
        <f>J$14/J$18</f>
        <v/>
      </c>
      <c r="K16" s="66">
        <f>K$14/K$18</f>
        <v/>
      </c>
      <c r="L16" s="66">
        <f>L$14/L$18</f>
        <v/>
      </c>
      <c r="M16" s="66">
        <f>M$14/M$18</f>
        <v/>
      </c>
      <c r="O16" s="61" t="n"/>
    </row>
    <row r="17">
      <c r="H17" s="70" t="n"/>
    </row>
    <row r="18" ht="15.75" customHeight="1" thickBot="1">
      <c r="B18" s="71" t="inlineStr">
        <is>
          <t>Total</t>
        </is>
      </c>
      <c r="C18" s="71" t="n"/>
      <c r="D18" s="72">
        <f>D14+D10+D6</f>
        <v/>
      </c>
      <c r="E18" s="72">
        <f>E14+E10+E6</f>
        <v/>
      </c>
      <c r="F18" s="72">
        <f>F14+F10+F6</f>
        <v/>
      </c>
      <c r="G18" s="72">
        <f>G14+G10+G6</f>
        <v/>
      </c>
      <c r="H18" s="73">
        <f>H14+H10+H6</f>
        <v/>
      </c>
      <c r="I18" s="72">
        <f>I14+I10+I6</f>
        <v/>
      </c>
      <c r="J18" s="72">
        <f>J14+J10+J6</f>
        <v/>
      </c>
      <c r="K18" s="72">
        <f>K14+K10+K6</f>
        <v/>
      </c>
      <c r="L18" s="72">
        <f>L14+L10+L6</f>
        <v/>
      </c>
      <c r="M18" s="72">
        <f>M14+M10+M6</f>
        <v/>
      </c>
      <c r="O18" s="71" t="inlineStr">
        <is>
          <t>Total</t>
        </is>
      </c>
      <c r="P18" s="74" t="n"/>
      <c r="Q18" s="72">
        <f>+SUM(Q6:Q15)</f>
        <v/>
      </c>
      <c r="R18" s="72">
        <f>+SUM(R6:R15)</f>
        <v/>
      </c>
      <c r="S18" s="72">
        <f>+SUM(S6:S15)</f>
        <v/>
      </c>
      <c r="T18" s="72">
        <f>+SUM(T6:T15)</f>
        <v/>
      </c>
      <c r="U18" s="72">
        <f>+SUM(U6:U15)</f>
        <v/>
      </c>
    </row>
    <row r="19" ht="15.75" customHeight="1" thickTop="1">
      <c r="B19" s="75" t="n"/>
    </row>
    <row r="20" ht="15.75" customFormat="1" customHeight="1" s="77">
      <c r="A20" s="51" t="n"/>
      <c r="B20" s="47" t="inlineStr">
        <is>
          <t>Notes &amp; Forecasts</t>
        </is>
      </c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76" t="n"/>
      <c r="O20" s="47" t="inlineStr">
        <is>
          <t>Notes &amp; Forecasts</t>
        </is>
      </c>
      <c r="P20" s="52" t="n"/>
      <c r="Q20" s="52" t="n"/>
      <c r="R20" s="52" t="n"/>
      <c r="S20" s="52" t="n"/>
      <c r="T20" s="52" t="n"/>
      <c r="U20" s="52" t="n"/>
      <c r="V20" s="76" t="n"/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76" t="n"/>
      <c r="AL20" s="76" t="n"/>
      <c r="AM20" s="76" t="n"/>
      <c r="AN20" s="76" t="n"/>
      <c r="AO20" s="76" t="n"/>
      <c r="AP20" s="76" t="n"/>
      <c r="AQ20" s="76" t="n"/>
      <c r="AR20" s="76" t="n"/>
      <c r="AS20" s="76" t="n"/>
    </row>
    <row r="21" ht="15.75" customFormat="1" customHeight="1" s="77">
      <c r="A21" s="51" t="n"/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76" t="n"/>
      <c r="O21" s="52" t="n"/>
      <c r="P21" s="52" t="n"/>
      <c r="Q21" s="52" t="n"/>
      <c r="R21" s="52" t="n"/>
      <c r="S21" s="52" t="n"/>
      <c r="T21" s="52" t="n"/>
      <c r="U21" s="52" t="n"/>
      <c r="V21" s="76" t="n"/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  <c r="AH21" s="76" t="n"/>
      <c r="AI21" s="76" t="n"/>
      <c r="AJ21" s="76" t="n"/>
      <c r="AK21" s="76" t="n"/>
      <c r="AL21" s="76" t="n"/>
      <c r="AM21" s="76" t="n"/>
      <c r="AN21" s="76" t="n"/>
      <c r="AO21" s="76" t="n"/>
      <c r="AP21" s="76" t="n"/>
      <c r="AQ21" s="76" t="n"/>
      <c r="AR21" s="76" t="n"/>
      <c r="AS21" s="76" t="n"/>
    </row>
    <row r="22" ht="15.75" customFormat="1" customHeight="1" s="77">
      <c r="A22" s="51" t="n"/>
      <c r="B22" s="52" t="n"/>
      <c r="C22" s="52" t="n"/>
      <c r="D22" s="52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76" t="n"/>
      <c r="O22" s="52" t="n"/>
      <c r="P22" s="52" t="n"/>
      <c r="Q22" s="52" t="n"/>
      <c r="R22" s="52" t="n"/>
      <c r="S22" s="52" t="n"/>
      <c r="T22" s="52" t="n"/>
      <c r="U22" s="52" t="n"/>
      <c r="V22" s="76" t="n"/>
      <c r="W22" s="76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  <c r="AG22" s="76" t="n"/>
      <c r="AH22" s="76" t="n"/>
      <c r="AI22" s="76" t="n"/>
      <c r="AJ22" s="76" t="n"/>
      <c r="AK22" s="76" t="n"/>
      <c r="AL22" s="76" t="n"/>
      <c r="AM22" s="76" t="n"/>
      <c r="AN22" s="76" t="n"/>
      <c r="AO22" s="76" t="n"/>
      <c r="AP22" s="76" t="n"/>
      <c r="AQ22" s="76" t="n"/>
      <c r="AR22" s="76" t="n"/>
      <c r="AS22" s="76" t="n"/>
    </row>
    <row r="23" ht="15.75" customHeight="1"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  <c r="Z23" s="55" t="n"/>
      <c r="AA23" s="55" t="n"/>
      <c r="AB23" s="55" t="n"/>
      <c r="AC23" s="55" t="n"/>
      <c r="AD23" s="55" t="n"/>
      <c r="AE23" s="55" t="n"/>
      <c r="AF23" s="55" t="n"/>
      <c r="AG23" s="55" t="n"/>
      <c r="AH23" s="55" t="n"/>
      <c r="AI23" s="55" t="n"/>
      <c r="AJ23" s="55" t="n"/>
      <c r="AK23" s="55" t="n"/>
      <c r="AL23" s="55" t="n"/>
      <c r="AM23" s="55" t="n"/>
      <c r="AN23" s="55" t="n"/>
      <c r="AO23" s="55" t="n"/>
      <c r="AP23" s="55" t="n"/>
      <c r="AQ23" s="55" t="n"/>
      <c r="AR23" s="55" t="n"/>
      <c r="AS23" s="55" t="n"/>
    </row>
    <row r="24" ht="360" customHeight="1">
      <c r="B24" s="265" t="n"/>
      <c r="C24" s="266" t="n"/>
      <c r="D24" s="222" t="n"/>
      <c r="E24" s="267" t="n"/>
      <c r="F24" s="267" t="n"/>
      <c r="G24" s="267" t="n"/>
      <c r="H24" s="267" t="n"/>
      <c r="I24" s="267" t="n"/>
      <c r="J24" s="267" t="n"/>
      <c r="K24" s="267" t="n"/>
      <c r="L24" s="267" t="n"/>
      <c r="M24" s="267" t="n"/>
      <c r="N24" s="78" t="n"/>
      <c r="O24" s="79" t="n"/>
      <c r="P24" s="80" t="n"/>
      <c r="Q24" s="80" t="n"/>
      <c r="R24" s="80" t="n"/>
      <c r="S24" s="80" t="n"/>
      <c r="T24" s="80" t="n"/>
      <c r="U24" s="81" t="n"/>
      <c r="W24" s="78" t="n"/>
      <c r="X24" s="78" t="n"/>
      <c r="Y24" s="78" t="n"/>
      <c r="Z24" s="78" t="n"/>
      <c r="AA24" s="78" t="n"/>
      <c r="AC24" s="78" t="n"/>
      <c r="AD24" s="78" t="n"/>
      <c r="AE24" s="78" t="n"/>
      <c r="AF24" s="78" t="n"/>
      <c r="AG24" s="78" t="n"/>
      <c r="AI24" s="78" t="n"/>
      <c r="AJ24" s="78" t="n"/>
      <c r="AK24" s="78" t="n"/>
      <c r="AL24" s="78" t="n"/>
      <c r="AM24" s="78" t="n"/>
      <c r="AO24" s="78" t="n"/>
      <c r="AQ24" s="82" t="n"/>
      <c r="AS24" s="78" t="n"/>
    </row>
    <row r="25" ht="360" customHeight="1">
      <c r="B25" s="268" t="n"/>
      <c r="C25" s="269" t="n"/>
      <c r="D25" s="225" t="n"/>
      <c r="E25" s="84" t="n"/>
      <c r="F25" s="84" t="n"/>
      <c r="G25" s="84" t="n"/>
      <c r="H25" s="84" t="n"/>
      <c r="I25" s="84" t="n"/>
      <c r="J25" s="84" t="n"/>
      <c r="K25" s="84" t="n"/>
      <c r="L25" s="84" t="n"/>
      <c r="M25" s="84" t="n"/>
      <c r="N25" s="83" t="n"/>
      <c r="O25" s="84" t="n"/>
      <c r="P25" s="85" t="n"/>
      <c r="Q25" s="85" t="n"/>
      <c r="R25" s="85" t="n"/>
      <c r="S25" s="85" t="n"/>
      <c r="T25" s="85" t="n"/>
      <c r="U25" s="85" t="n"/>
      <c r="V25" s="83" t="n"/>
      <c r="W25" s="83" t="n"/>
      <c r="X25" s="83" t="n"/>
      <c r="Y25" s="83" t="n"/>
      <c r="Z25" s="83" t="n"/>
      <c r="AA25" s="83" t="n"/>
      <c r="AB25" s="83" t="n"/>
      <c r="AC25" s="83" t="n"/>
      <c r="AD25" s="83" t="n"/>
      <c r="AE25" s="83" t="n"/>
      <c r="AF25" s="83" t="n"/>
      <c r="AG25" s="83" t="n"/>
      <c r="AH25" s="83" t="n"/>
      <c r="AI25" s="83" t="n"/>
      <c r="AJ25" s="83" t="n"/>
      <c r="AK25" s="83" t="n"/>
      <c r="AL25" s="83" t="n"/>
      <c r="AM25" s="83" t="n"/>
      <c r="AN25" s="83" t="n"/>
      <c r="AO25" s="83" t="n"/>
      <c r="AP25" s="83" t="n"/>
      <c r="AQ25" s="83" t="n"/>
      <c r="AR25" s="83" t="n"/>
      <c r="AS25" s="83" t="n"/>
    </row>
    <row r="26" ht="360" customHeight="1">
      <c r="B26" s="228" t="n"/>
      <c r="C26" s="270" t="n"/>
      <c r="D26" s="229" t="n"/>
      <c r="N26" s="83" t="n"/>
      <c r="O26" s="83" t="n"/>
      <c r="P26" s="83" t="n"/>
      <c r="Q26" s="83" t="n"/>
      <c r="R26" s="83" t="n"/>
      <c r="S26" s="83" t="n"/>
      <c r="T26" s="83" t="n"/>
      <c r="U26" s="83" t="n"/>
      <c r="V26" s="83" t="n"/>
      <c r="W26" s="83" t="n"/>
      <c r="X26" s="83" t="n"/>
      <c r="Y26" s="83" t="n"/>
      <c r="Z26" s="83" t="n"/>
      <c r="AA26" s="83" t="n"/>
      <c r="AB26" s="83" t="n"/>
      <c r="AC26" s="83" t="n"/>
      <c r="AD26" s="83" t="n"/>
      <c r="AE26" s="83" t="n"/>
      <c r="AF26" s="83" t="n"/>
      <c r="AG26" s="83" t="n"/>
      <c r="AH26" s="83" t="n"/>
      <c r="AI26" s="83" t="n"/>
      <c r="AJ26" s="83" t="n"/>
      <c r="AK26" s="83" t="n"/>
      <c r="AL26" s="83" t="n"/>
      <c r="AM26" s="83" t="n"/>
      <c r="AN26" s="83" t="n"/>
      <c r="AO26" s="83" t="n"/>
      <c r="AP26" s="83" t="n"/>
      <c r="AQ26" s="83" t="n"/>
      <c r="AR26" s="83" t="n"/>
      <c r="AS26" s="83" t="n"/>
    </row>
    <row r="27" ht="14.25" customHeight="1">
      <c r="B27" s="78" t="n"/>
      <c r="D27" s="78" t="n"/>
      <c r="E27" s="78" t="n"/>
      <c r="F27" s="78" t="n"/>
      <c r="G27" s="78" t="n"/>
      <c r="H27" s="83" t="n"/>
      <c r="I27" s="83" t="n"/>
      <c r="J27" s="83" t="n"/>
      <c r="K27" s="83" t="n"/>
      <c r="L27" s="83" t="n"/>
      <c r="M27" s="83" t="n"/>
      <c r="N27" s="83" t="n"/>
      <c r="O27" s="83" t="n"/>
      <c r="P27" s="83" t="n"/>
      <c r="Q27" s="83" t="n"/>
      <c r="R27" s="83" t="n"/>
      <c r="S27" s="83" t="n"/>
      <c r="T27" s="83" t="n"/>
      <c r="U27" s="83" t="n"/>
      <c r="V27" s="83" t="n"/>
      <c r="W27" s="83" t="n"/>
      <c r="X27" s="83" t="n"/>
      <c r="Y27" s="83" t="n"/>
      <c r="Z27" s="83" t="n"/>
      <c r="AA27" s="83" t="n"/>
      <c r="AB27" s="83" t="n"/>
      <c r="AC27" s="83" t="n"/>
      <c r="AD27" s="83" t="n"/>
      <c r="AE27" s="83" t="n"/>
      <c r="AF27" s="83" t="n"/>
      <c r="AG27" s="83" t="n"/>
      <c r="AH27" s="83" t="n"/>
      <c r="AI27" s="83" t="n"/>
      <c r="AJ27" s="83" t="n"/>
      <c r="AK27" s="83" t="n"/>
      <c r="AL27" s="83" t="n"/>
      <c r="AM27" s="83" t="n"/>
      <c r="AN27" s="83" t="n"/>
      <c r="AO27" s="83" t="n"/>
      <c r="AP27" s="83" t="n"/>
      <c r="AQ27" s="83" t="n"/>
      <c r="AR27" s="83" t="n"/>
      <c r="AS27" s="83" t="n"/>
    </row>
  </sheetData>
  <mergeCells count="6">
    <mergeCell ref="B24:C24"/>
    <mergeCell ref="B25:C25"/>
    <mergeCell ref="D26:M26"/>
    <mergeCell ref="D25:M25"/>
    <mergeCell ref="B26:C26"/>
    <mergeCell ref="D24:M24"/>
  </mergeCells>
  <conditionalFormatting sqref="D6:M6">
    <cfRule type="colorScale" priority="10">
      <colorScale>
        <cfvo type="min"/>
        <cfvo type="max"/>
        <color rgb="FFFCFCFF"/>
        <color rgb="FF81AADB"/>
      </colorScale>
    </cfRule>
  </conditionalFormatting>
  <conditionalFormatting sqref="D10:M10">
    <cfRule type="colorScale" priority="9">
      <colorScale>
        <cfvo type="min"/>
        <cfvo type="max"/>
        <color rgb="FFFCFCFF"/>
        <color rgb="FF81AADB"/>
      </colorScale>
    </cfRule>
  </conditionalFormatting>
  <conditionalFormatting sqref="D14:M14">
    <cfRule type="colorScale" priority="8">
      <colorScale>
        <cfvo type="min"/>
        <cfvo type="max"/>
        <color rgb="FFFCFCFF"/>
        <color rgb="FF81AADB"/>
      </colorScale>
    </cfRule>
  </conditionalFormatting>
  <conditionalFormatting sqref="Q6:U6">
    <cfRule type="colorScale" priority="11">
      <colorScale>
        <cfvo type="min"/>
        <cfvo type="max"/>
        <color rgb="FFFCFCFF"/>
        <color rgb="FF81AADB"/>
      </colorScale>
    </cfRule>
  </conditionalFormatting>
  <conditionalFormatting sqref="Q7:U7">
    <cfRule type="colorScale" priority="7">
      <colorScale>
        <cfvo type="min"/>
        <cfvo type="max"/>
        <color rgb="FFFCFCFF"/>
        <color rgb="FF81AADB"/>
      </colorScale>
    </cfRule>
  </conditionalFormatting>
  <conditionalFormatting sqref="Q8:U8">
    <cfRule type="colorScale" priority="6">
      <colorScale>
        <cfvo type="min"/>
        <cfvo type="max"/>
        <color rgb="FFFCFCFF"/>
        <color rgb="FF81AADB"/>
      </colorScale>
    </cfRule>
  </conditionalFormatting>
  <conditionalFormatting sqref="Q10:U10">
    <cfRule type="colorScale" priority="5">
      <colorScale>
        <cfvo type="min"/>
        <cfvo type="max"/>
        <color rgb="FFFCFCFF"/>
        <color rgb="FF81AADB"/>
      </colorScale>
    </cfRule>
  </conditionalFormatting>
  <conditionalFormatting sqref="Q11:U11">
    <cfRule type="colorScale" priority="4">
      <colorScale>
        <cfvo type="min"/>
        <cfvo type="max"/>
        <color rgb="FFFCFCFF"/>
        <color rgb="FF81AADB"/>
      </colorScale>
    </cfRule>
  </conditionalFormatting>
  <conditionalFormatting sqref="Q12:U12">
    <cfRule type="colorScale" priority="3">
      <colorScale>
        <cfvo type="min"/>
        <cfvo type="max"/>
        <color rgb="FFFCFCFF"/>
        <color rgb="FF81AADB"/>
      </colorScale>
    </cfRule>
  </conditionalFormatting>
  <conditionalFormatting sqref="Q14:U14">
    <cfRule type="colorScale" priority="2">
      <colorScale>
        <cfvo type="min"/>
        <cfvo type="max"/>
        <color rgb="FFFCFCFF"/>
        <color rgb="FF81AADB"/>
      </colorScale>
    </cfRule>
  </conditionalFormatting>
  <conditionalFormatting sqref="Q15:U15">
    <cfRule type="colorScale" priority="1">
      <colorScale>
        <cfvo type="min"/>
        <cfvo type="max"/>
        <color rgb="FFFCFCFF"/>
        <color rgb="FF81AAD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1"/>
  <sheetViews>
    <sheetView showGridLines="0" topLeftCell="A16" workbookViewId="0">
      <selection activeCell="P20" sqref="P20"/>
    </sheetView>
  </sheetViews>
  <sheetFormatPr baseColWidth="8" defaultRowHeight="15"/>
  <cols>
    <col width="39.85546875" bestFit="1" customWidth="1" min="2" max="2"/>
  </cols>
  <sheetData>
    <row r="2">
      <c r="B2" s="25" t="inlineStr">
        <is>
          <t>Industry Growth Forecast</t>
        </is>
      </c>
      <c r="C2" s="24" t="n"/>
      <c r="D2" s="86" t="n"/>
      <c r="E2" s="86" t="n"/>
      <c r="F2" s="86" t="n"/>
      <c r="G2" s="86" t="n"/>
      <c r="H2" s="86" t="n"/>
      <c r="I2" s="86" t="n"/>
      <c r="J2" s="86" t="n"/>
      <c r="K2" s="86" t="n"/>
      <c r="L2" s="86" t="n"/>
      <c r="M2" s="87" t="n"/>
      <c r="N2" s="86" t="n"/>
      <c r="O2" s="86" t="n"/>
      <c r="P2" s="86" t="n"/>
      <c r="Q2" s="86" t="n"/>
      <c r="R2" s="86" t="n"/>
      <c r="S2" s="51" t="n"/>
    </row>
    <row r="3">
      <c r="B3" s="24" t="n"/>
      <c r="C3" s="24" t="n"/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7" t="n"/>
      <c r="N3" s="86" t="n"/>
      <c r="O3" s="86" t="n"/>
      <c r="P3" s="86" t="n"/>
      <c r="Q3" s="86" t="n"/>
      <c r="R3" s="86" t="n"/>
      <c r="S3" s="51" t="n"/>
    </row>
    <row r="4">
      <c r="B4" s="88" t="inlineStr">
        <is>
          <t>in Billions of USD</t>
        </is>
      </c>
      <c r="C4" s="86" t="n"/>
      <c r="D4" s="271" t="n">
        <v>2023</v>
      </c>
      <c r="E4" s="271">
        <f>+D4+1</f>
        <v/>
      </c>
      <c r="F4" s="271">
        <f>+E4+1</f>
        <v/>
      </c>
      <c r="G4" s="272">
        <f>+F4+1</f>
        <v/>
      </c>
      <c r="H4" s="272">
        <f>+G4+1</f>
        <v/>
      </c>
      <c r="I4" s="272">
        <f>+H4+1</f>
        <v/>
      </c>
      <c r="J4" s="272">
        <f>+I4+1</f>
        <v/>
      </c>
      <c r="K4" s="272">
        <f>+J4+1</f>
        <v/>
      </c>
      <c r="L4" s="91">
        <f>"CAGR "&amp;$G$9&amp;" - "&amp;$K$9</f>
        <v/>
      </c>
      <c r="M4" s="92" t="n"/>
      <c r="N4" s="25" t="inlineStr">
        <is>
          <t>vs Index</t>
        </is>
      </c>
      <c r="O4" s="86" t="n"/>
      <c r="P4" s="86" t="n"/>
      <c r="Q4" s="86" t="n"/>
      <c r="R4" s="86" t="n"/>
      <c r="S4" s="51" t="n"/>
    </row>
    <row r="5"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93" t="n"/>
      <c r="M5" s="51" t="n"/>
      <c r="N5" s="24" t="n"/>
      <c r="O5" s="24" t="n"/>
      <c r="P5" s="24" t="n"/>
      <c r="Q5" s="24" t="n"/>
      <c r="R5" s="24" t="n"/>
      <c r="S5" s="51" t="n"/>
    </row>
    <row r="6">
      <c r="B6" s="51" t="n"/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94" t="n"/>
      <c r="M6" s="51" t="n"/>
      <c r="N6" s="51" t="n"/>
      <c r="O6" s="51" t="n"/>
      <c r="P6" s="51" t="n"/>
      <c r="Q6" s="51" t="n"/>
      <c r="R6" s="51" t="n"/>
      <c r="S6" s="51" t="n"/>
    </row>
    <row r="7">
      <c r="B7" s="95" t="n"/>
      <c r="C7" s="96" t="n"/>
      <c r="D7" s="97" t="n"/>
      <c r="E7" s="97" t="n"/>
      <c r="F7" s="97" t="n"/>
      <c r="G7" s="97" t="n"/>
      <c r="H7" s="97" t="n"/>
      <c r="I7" s="97" t="n"/>
      <c r="J7" s="97" t="n"/>
      <c r="K7" s="97" t="n"/>
      <c r="L7" s="98">
        <f>(K7/F7)^(1/5)-1</f>
        <v/>
      </c>
      <c r="M7" s="51" t="n"/>
      <c r="N7" s="51" t="n"/>
      <c r="O7" s="51" t="n"/>
      <c r="P7" s="51" t="n"/>
      <c r="Q7" s="51" t="n"/>
      <c r="R7" s="51" t="n"/>
      <c r="S7" s="51" t="n"/>
    </row>
    <row r="8" ht="15" customHeight="1">
      <c r="B8" s="99" t="n"/>
      <c r="C8" s="96" t="n"/>
      <c r="D8" s="97" t="n"/>
      <c r="E8" s="97" t="n"/>
      <c r="F8" s="97" t="n"/>
      <c r="G8" s="97" t="n"/>
      <c r="H8" s="97" t="n"/>
      <c r="I8" s="97" t="n"/>
      <c r="J8" s="97" t="n"/>
      <c r="K8" s="97" t="n"/>
      <c r="L8" s="98">
        <f>(K8/F8)^(1/5)-1</f>
        <v/>
      </c>
      <c r="M8" s="51" t="n"/>
      <c r="N8" s="51" t="n"/>
      <c r="O8" s="51" t="n"/>
      <c r="P8" s="51" t="n"/>
      <c r="Q8" s="51" t="n"/>
      <c r="R8" s="51" t="n"/>
      <c r="S8" s="51" t="n"/>
    </row>
    <row r="9" ht="15" customHeight="1">
      <c r="B9" s="99" t="n"/>
      <c r="C9" s="96" t="n"/>
      <c r="D9" s="97" t="n"/>
      <c r="E9" s="97" t="n"/>
      <c r="F9" s="97" t="n"/>
      <c r="G9" s="97" t="n"/>
      <c r="H9" s="97" t="n"/>
      <c r="I9" s="97" t="n"/>
      <c r="J9" s="97" t="n"/>
      <c r="K9" s="97" t="n"/>
      <c r="L9" s="98">
        <f>(K9/F9)^(1/5)-1</f>
        <v/>
      </c>
      <c r="M9" s="51" t="n"/>
      <c r="N9" s="51" t="n"/>
      <c r="O9" s="51" t="n"/>
      <c r="P9" s="51" t="n"/>
      <c r="Q9" s="51" t="n"/>
      <c r="R9" s="51" t="n"/>
      <c r="S9" s="51" t="n"/>
    </row>
    <row r="10" ht="15" customHeight="1">
      <c r="B10" s="99" t="n"/>
      <c r="C10" s="96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8">
        <f>(K10/F10)^(1/5)-1</f>
        <v/>
      </c>
      <c r="M10" s="51" t="n"/>
      <c r="N10" s="51" t="n"/>
      <c r="O10" s="51" t="n"/>
      <c r="P10" s="51" t="n"/>
      <c r="Q10" s="51" t="n"/>
      <c r="R10" s="51" t="n"/>
      <c r="S10" s="51" t="n"/>
    </row>
    <row r="11" ht="15" customHeight="1">
      <c r="B11" s="99" t="n"/>
      <c r="C11" s="96" t="n"/>
      <c r="D11" s="97" t="n"/>
      <c r="E11" s="97" t="n"/>
      <c r="F11" s="97" t="n"/>
      <c r="G11" s="97" t="n"/>
      <c r="H11" s="97" t="n"/>
      <c r="I11" s="97" t="n"/>
      <c r="J11" s="97" t="n"/>
      <c r="K11" s="97" t="n"/>
      <c r="L11" s="98">
        <f>(K11/F11)^(1/5)-1</f>
        <v/>
      </c>
      <c r="M11" s="51" t="n"/>
      <c r="N11" s="51" t="n"/>
      <c r="O11" s="51" t="n"/>
      <c r="P11" s="51" t="n"/>
      <c r="Q11" s="51" t="n"/>
      <c r="R11" s="51" t="n"/>
      <c r="S11" s="51" t="n"/>
    </row>
    <row r="12" ht="15" customHeight="1">
      <c r="B12" s="99" t="n"/>
      <c r="C12" s="96" t="n"/>
      <c r="D12" s="97" t="n"/>
      <c r="E12" s="97" t="n"/>
      <c r="F12" s="97" t="n"/>
      <c r="G12" s="97" t="n"/>
      <c r="H12" s="97" t="n"/>
      <c r="I12" s="97" t="n"/>
      <c r="J12" s="97" t="n"/>
      <c r="K12" s="97" t="n"/>
      <c r="L12" s="98">
        <f>(K12/F12)^(1/5)-1</f>
        <v/>
      </c>
      <c r="M12" s="51" t="n"/>
      <c r="N12" s="51" t="n"/>
      <c r="O12" s="51" t="n"/>
      <c r="P12" s="51" t="n"/>
      <c r="Q12" s="51" t="n"/>
      <c r="R12" s="51" t="n"/>
      <c r="S12" s="51" t="n"/>
    </row>
    <row r="13" ht="15" customHeight="1">
      <c r="B13" s="99" t="n"/>
      <c r="C13" s="96" t="n"/>
      <c r="D13" s="97" t="n"/>
      <c r="E13" s="97" t="n"/>
      <c r="F13" s="97" t="n"/>
      <c r="G13" s="97" t="n"/>
      <c r="H13" s="97" t="n"/>
      <c r="I13" s="97" t="n"/>
      <c r="J13" s="97" t="n"/>
      <c r="K13" s="97" t="n"/>
      <c r="L13" s="98">
        <f>(I13/F13)^(1/3)-1</f>
        <v/>
      </c>
      <c r="M13" s="51" t="n"/>
      <c r="N13" s="51" t="n"/>
      <c r="O13" s="51" t="n"/>
      <c r="P13" s="51" t="n"/>
      <c r="Q13" s="51" t="n"/>
      <c r="R13" s="51" t="n"/>
      <c r="S13" s="51" t="n"/>
    </row>
    <row r="14" ht="15" customHeight="1">
      <c r="B14" s="99" t="n"/>
      <c r="C14" s="96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8">
        <f>(I14/F14)^(1/3)-1</f>
        <v/>
      </c>
      <c r="M14" s="51" t="n"/>
      <c r="N14" s="51" t="n"/>
      <c r="O14" s="51" t="n"/>
      <c r="P14" s="51" t="n"/>
      <c r="Q14" s="51" t="n"/>
      <c r="R14" s="51" t="n"/>
      <c r="S14" s="51" t="n"/>
    </row>
    <row r="15">
      <c r="B15" s="51" t="n"/>
      <c r="C15" s="51" t="n"/>
      <c r="D15" s="51" t="n"/>
      <c r="E15" s="100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</row>
    <row r="16"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51" t="n"/>
      <c r="N16" s="86" t="n"/>
      <c r="O16" s="86" t="n"/>
      <c r="P16" s="86" t="n"/>
      <c r="Q16" s="86" t="n"/>
      <c r="R16" s="86" t="n"/>
      <c r="S16" s="51" t="n"/>
    </row>
    <row r="17">
      <c r="B17" s="86" t="n"/>
      <c r="C17" s="86" t="n"/>
      <c r="D17" s="86" t="n"/>
      <c r="E17" s="86" t="n"/>
      <c r="F17" s="86" t="n"/>
      <c r="G17" s="86" t="n"/>
      <c r="H17" s="86" t="n"/>
      <c r="I17" s="86" t="n"/>
      <c r="J17" s="86" t="n"/>
      <c r="K17" s="86" t="n"/>
      <c r="L17" s="86" t="n"/>
      <c r="M17" s="51" t="n"/>
      <c r="N17" s="86" t="n"/>
      <c r="O17" s="86" t="n"/>
      <c r="P17" s="86" t="n"/>
      <c r="Q17" s="86" t="n"/>
      <c r="R17" s="86" t="n"/>
      <c r="S17" s="51" t="n"/>
    </row>
    <row r="18">
      <c r="B18" s="25" t="inlineStr">
        <is>
          <t>Industry Driver</t>
        </is>
      </c>
      <c r="C18" s="86" t="n"/>
      <c r="D18" s="25" t="inlineStr">
        <is>
          <t>Description</t>
        </is>
      </c>
      <c r="E18" s="86" t="n"/>
      <c r="F18" s="86" t="n"/>
      <c r="G18" s="86" t="n"/>
      <c r="H18" s="86" t="n"/>
      <c r="I18" s="86" t="n"/>
      <c r="J18" s="86" t="n"/>
      <c r="K18" s="86" t="n"/>
      <c r="L18" s="86" t="n"/>
      <c r="M18" s="87" t="n"/>
      <c r="N18" s="25" t="inlineStr">
        <is>
          <t>Porter's Five Forces</t>
        </is>
      </c>
      <c r="O18" s="86" t="n"/>
      <c r="P18" s="86" t="n"/>
      <c r="Q18" s="86" t="n"/>
      <c r="R18" s="86" t="n"/>
      <c r="S18" s="87" t="n"/>
    </row>
    <row r="19"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51" t="n"/>
      <c r="N19" s="24" t="n"/>
      <c r="O19" s="24" t="n"/>
      <c r="P19" s="24" t="n"/>
      <c r="Q19" s="24" t="n"/>
      <c r="R19" s="24" t="n"/>
      <c r="S19" s="51" t="n"/>
    </row>
    <row r="20" ht="200.1" customHeight="1">
      <c r="B20" s="231" t="n"/>
      <c r="C20" s="241" t="n"/>
      <c r="D20" s="232" t="n"/>
      <c r="M20" s="51" t="n"/>
      <c r="N20" s="51" t="n"/>
      <c r="O20" s="51" t="n"/>
      <c r="P20" s="51" t="n"/>
      <c r="Q20" s="51" t="n"/>
      <c r="R20" s="51" t="n"/>
      <c r="S20" s="51" t="n"/>
    </row>
    <row r="21" ht="150" customHeight="1">
      <c r="B21" s="231" t="n"/>
      <c r="C21" s="241" t="n"/>
      <c r="D21" s="232" t="n"/>
      <c r="M21" s="51" t="n"/>
      <c r="N21" s="51" t="n"/>
      <c r="O21" s="51" t="n"/>
      <c r="P21" s="51" t="n"/>
      <c r="Q21" s="51" t="n"/>
      <c r="R21" s="51" t="n"/>
      <c r="S21" s="51" t="n"/>
    </row>
    <row r="22" ht="150" customHeight="1">
      <c r="B22" s="231" t="n"/>
      <c r="C22" s="241" t="n"/>
      <c r="D22" s="232" t="n"/>
      <c r="M22" s="51" t="n"/>
      <c r="N22" s="51" t="n"/>
      <c r="O22" s="51" t="n"/>
      <c r="P22" s="51" t="n"/>
      <c r="Q22" s="51" t="n"/>
      <c r="R22" s="51" t="n"/>
      <c r="S22" s="51" t="n"/>
    </row>
    <row r="23"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101" t="inlineStr">
        <is>
          <t>Rivalry Among Existing Competitors</t>
        </is>
      </c>
      <c r="O23" s="51" t="n"/>
      <c r="P23" s="51" t="n"/>
      <c r="Q23" s="51" t="n"/>
      <c r="R23" s="102" t="n">
        <v>5</v>
      </c>
      <c r="S23" s="51" t="n"/>
    </row>
    <row r="24"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101" t="inlineStr">
        <is>
          <t>Threat of New Entrants</t>
        </is>
      </c>
      <c r="O24" s="51" t="n"/>
      <c r="P24" s="51" t="n"/>
      <c r="Q24" s="51" t="n"/>
      <c r="R24" s="102" t="n">
        <v>1</v>
      </c>
      <c r="S24" s="51" t="n"/>
    </row>
    <row r="25"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101" t="inlineStr">
        <is>
          <t>Threat of Substitutes</t>
        </is>
      </c>
      <c r="O25" s="51" t="n"/>
      <c r="P25" s="51" t="n"/>
      <c r="Q25" s="51" t="n"/>
      <c r="R25" s="102" t="n">
        <v>2</v>
      </c>
      <c r="S25" s="51" t="n"/>
    </row>
    <row r="26"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101" t="inlineStr">
        <is>
          <t>Bargaining Power of Customers</t>
        </is>
      </c>
      <c r="O26" s="51" t="n"/>
      <c r="P26" s="51" t="n"/>
      <c r="Q26" s="51" t="n"/>
      <c r="R26" s="102" t="n">
        <v>4</v>
      </c>
      <c r="S26" s="51" t="n"/>
    </row>
    <row r="27"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101" t="inlineStr">
        <is>
          <t>Bargaining Power of Suppliers</t>
        </is>
      </c>
      <c r="O27" s="51" t="n"/>
      <c r="P27" s="51" t="n"/>
      <c r="Q27" s="51" t="n"/>
      <c r="R27" s="102" t="n">
        <v>3</v>
      </c>
      <c r="S27" s="51" t="n"/>
    </row>
    <row r="28"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</row>
    <row r="29"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</row>
    <row r="30"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</row>
    <row r="31"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</row>
  </sheetData>
  <mergeCells count="6">
    <mergeCell ref="D21:L21"/>
    <mergeCell ref="B21:C21"/>
    <mergeCell ref="B20:C20"/>
    <mergeCell ref="D22:L22"/>
    <mergeCell ref="B22:C22"/>
    <mergeCell ref="D20:L20"/>
  </mergeCells>
  <conditionalFormatting sqref="D7:K7">
    <cfRule type="colorScale" priority="8">
      <colorScale>
        <cfvo type="min"/>
        <cfvo type="max"/>
        <color rgb="FFFCFCFF"/>
        <color rgb="FF81AADB"/>
      </colorScale>
    </cfRule>
  </conditionalFormatting>
  <conditionalFormatting sqref="D8:K8">
    <cfRule type="colorScale" priority="7">
      <colorScale>
        <cfvo type="min"/>
        <cfvo type="max"/>
        <color rgb="FFFCFCFF"/>
        <color rgb="FF81AADB"/>
      </colorScale>
    </cfRule>
  </conditionalFormatting>
  <conditionalFormatting sqref="D9:K9">
    <cfRule type="colorScale" priority="6">
      <colorScale>
        <cfvo type="min"/>
        <cfvo type="max"/>
        <color rgb="FFFCFCFF"/>
        <color rgb="FF81AADB"/>
      </colorScale>
    </cfRule>
  </conditionalFormatting>
  <conditionalFormatting sqref="D10:K10">
    <cfRule type="colorScale" priority="5">
      <colorScale>
        <cfvo type="min"/>
        <cfvo type="max"/>
        <color rgb="FFFCFCFF"/>
        <color rgb="FF81AADB"/>
      </colorScale>
    </cfRule>
  </conditionalFormatting>
  <conditionalFormatting sqref="D11:K11">
    <cfRule type="colorScale" priority="4">
      <colorScale>
        <cfvo type="min"/>
        <cfvo type="max"/>
        <color rgb="FFFCFCFF"/>
        <color rgb="FF81AADB"/>
      </colorScale>
    </cfRule>
  </conditionalFormatting>
  <conditionalFormatting sqref="D12:K12">
    <cfRule type="colorScale" priority="3">
      <colorScale>
        <cfvo type="min"/>
        <cfvo type="max"/>
        <color rgb="FFFCFCFF"/>
        <color rgb="FF81AADB"/>
      </colorScale>
    </cfRule>
  </conditionalFormatting>
  <conditionalFormatting sqref="D13:K13">
    <cfRule type="colorScale" priority="2">
      <colorScale>
        <cfvo type="min"/>
        <cfvo type="max"/>
        <color rgb="FFFCFCFF"/>
        <color rgb="FF81AADB"/>
      </colorScale>
    </cfRule>
  </conditionalFormatting>
  <conditionalFormatting sqref="D14:K14">
    <cfRule type="colorScale" priority="1">
      <colorScale>
        <cfvo type="min"/>
        <cfvo type="max"/>
        <color rgb="FFFCFCFF"/>
        <color rgb="FF81AADB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selection activeCell="G13" sqref="G13"/>
    </sheetView>
  </sheetViews>
  <sheetFormatPr baseColWidth="8" defaultRowHeight="15"/>
  <cols>
    <col width="12.7109375" bestFit="1" customWidth="1" min="7" max="7"/>
    <col width="16.5703125" bestFit="1" customWidth="1" min="9" max="9"/>
  </cols>
  <sheetData>
    <row r="1">
      <c r="A1" s="184" t="n"/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</row>
    <row r="2">
      <c r="A2" s="184" t="n"/>
      <c r="B2" s="25" t="inlineStr">
        <is>
          <t>WACC</t>
        </is>
      </c>
      <c r="C2" s="86" t="n"/>
      <c r="D2" s="86" t="n"/>
      <c r="E2" s="86" t="n"/>
      <c r="F2" s="86" t="n"/>
      <c r="G2" s="24" t="n"/>
      <c r="H2" s="51" t="n"/>
      <c r="I2" s="25" t="inlineStr">
        <is>
          <t>Region</t>
        </is>
      </c>
      <c r="J2" s="103" t="inlineStr">
        <is>
          <t>Weight</t>
        </is>
      </c>
      <c r="K2" s="103" t="inlineStr">
        <is>
          <t>ERP</t>
        </is>
      </c>
    </row>
    <row r="3">
      <c r="A3" s="184" t="n"/>
      <c r="B3" s="25" t="n"/>
      <c r="C3" s="86" t="n"/>
      <c r="D3" s="86" t="n"/>
      <c r="E3" s="86" t="n"/>
      <c r="F3" s="86" t="n"/>
      <c r="G3" s="24" t="n"/>
      <c r="H3" s="51" t="n"/>
      <c r="I3" s="25" t="n"/>
      <c r="J3" s="103" t="n"/>
      <c r="K3" s="103" t="n"/>
    </row>
    <row r="4">
      <c r="A4" s="184" t="n"/>
      <c r="B4" s="25" t="n"/>
      <c r="C4" s="86" t="n"/>
      <c r="D4" s="86" t="n"/>
      <c r="E4" s="86" t="n"/>
      <c r="F4" s="86" t="n"/>
      <c r="G4" s="24" t="n"/>
      <c r="H4" s="51" t="n"/>
      <c r="I4" s="25" t="n"/>
      <c r="J4" s="103" t="n"/>
      <c r="K4" s="103" t="n"/>
    </row>
    <row r="5">
      <c r="A5" s="184" t="n"/>
      <c r="B5" s="26" t="n"/>
      <c r="C5" s="87" t="n"/>
      <c r="D5" s="87" t="n"/>
      <c r="E5" s="87" t="n"/>
      <c r="F5" s="87" t="n"/>
      <c r="G5" s="51" t="n"/>
      <c r="H5" s="51" t="n"/>
      <c r="I5" s="87" t="n"/>
      <c r="J5" s="104" t="n"/>
      <c r="K5" s="104" t="n"/>
    </row>
    <row r="6">
      <c r="A6" s="184" t="n"/>
      <c r="B6" s="105" t="inlineStr">
        <is>
          <t>Market Cap (in millions)</t>
        </is>
      </c>
      <c r="C6" s="51" t="n"/>
      <c r="D6" s="51" t="n"/>
      <c r="E6" s="51" t="n"/>
      <c r="F6" s="51" t="n"/>
      <c r="G6" s="273">
        <f>OP!U11</f>
        <v/>
      </c>
      <c r="H6" s="51" t="n"/>
      <c r="I6" s="51" t="inlineStr">
        <is>
          <t>United States</t>
        </is>
      </c>
      <c r="J6" s="107" t="n"/>
      <c r="K6" s="108" t="n">
        <v>0.0433</v>
      </c>
      <c r="L6" s="182" t="n">
        <v>0.0487</v>
      </c>
      <c r="M6" s="182" t="n"/>
    </row>
    <row r="7">
      <c r="A7" s="184" t="n"/>
      <c r="B7" s="101" t="inlineStr">
        <is>
          <t>% of Equity</t>
        </is>
      </c>
      <c r="C7" s="51" t="n"/>
      <c r="D7" s="51" t="n"/>
      <c r="E7" s="51" t="n"/>
      <c r="F7" s="51" t="n"/>
      <c r="G7" s="109">
        <f>IFERROR(G6/G20,"")</f>
        <v/>
      </c>
      <c r="H7" s="51" t="n"/>
      <c r="I7" s="51" t="inlineStr">
        <is>
          <t>Taiwan</t>
        </is>
      </c>
      <c r="J7" s="107" t="n"/>
      <c r="K7" s="108" t="n">
        <v>0.0513</v>
      </c>
      <c r="L7" s="182" t="n">
        <v>0.0513</v>
      </c>
      <c r="M7" s="182" t="n"/>
    </row>
    <row r="8">
      <c r="A8" s="184" t="n"/>
      <c r="B8" s="101" t="inlineStr">
        <is>
          <t>Cost of Equity</t>
        </is>
      </c>
      <c r="C8" s="51" t="n"/>
      <c r="D8" s="51" t="n"/>
      <c r="E8" s="51" t="n"/>
      <c r="F8" s="51" t="n"/>
      <c r="G8" s="110">
        <f>IFERROR(G9+G11*G12,"")</f>
        <v/>
      </c>
      <c r="H8" s="51" t="n"/>
      <c r="I8" s="51" t="inlineStr">
        <is>
          <t>Japan</t>
        </is>
      </c>
      <c r="J8" s="107" t="n"/>
      <c r="K8" s="108" t="n">
        <v>0.0527</v>
      </c>
      <c r="L8" s="182" t="n">
        <v>0.055</v>
      </c>
      <c r="M8" s="182" t="n"/>
    </row>
    <row r="9">
      <c r="A9" s="184" t="n"/>
      <c r="B9" s="101" t="inlineStr">
        <is>
          <t>Risk-Free Rate</t>
        </is>
      </c>
      <c r="C9" s="51" t="n"/>
      <c r="D9" s="51" t="n"/>
      <c r="E9" s="51" t="n"/>
      <c r="F9" s="51" t="n"/>
      <c r="G9" s="111" t="n">
        <v>0.0296</v>
      </c>
      <c r="H9" s="51" t="n"/>
      <c r="I9" s="51" t="inlineStr">
        <is>
          <t>Other</t>
        </is>
      </c>
      <c r="J9" s="107" t="n"/>
      <c r="K9" s="108" t="n">
        <v>0.06</v>
      </c>
      <c r="L9" s="182" t="n">
        <v>0.06</v>
      </c>
      <c r="M9" s="182" t="n"/>
    </row>
    <row r="10">
      <c r="A10" s="184" t="n"/>
      <c r="B10" s="101" t="inlineStr">
        <is>
          <t>Unlevered Beta</t>
        </is>
      </c>
      <c r="C10" s="51" t="n"/>
      <c r="D10" s="51" t="n"/>
      <c r="E10" s="51" t="n"/>
      <c r="F10" s="51" t="n"/>
      <c r="G10" s="112" t="n">
        <v>0.621</v>
      </c>
      <c r="H10" s="51" t="n"/>
      <c r="I10" s="51" t="inlineStr">
        <is>
          <t>Other Asia Pacific</t>
        </is>
      </c>
      <c r="J10" s="107" t="n"/>
      <c r="K10" s="108">
        <f>((6.46+4.33)/2)%</f>
        <v/>
      </c>
      <c r="L10" s="182" t="n">
        <v>0.054</v>
      </c>
      <c r="M10" s="182" t="n"/>
    </row>
    <row r="11">
      <c r="A11" s="184" t="n"/>
      <c r="B11" s="101" t="inlineStr">
        <is>
          <t>Beta</t>
        </is>
      </c>
      <c r="C11" s="51" t="n"/>
      <c r="D11" s="51" t="n"/>
      <c r="E11" s="51" t="n"/>
      <c r="F11" s="51" t="n"/>
      <c r="G11" s="113">
        <f>OP!U17</f>
        <v/>
      </c>
      <c r="H11" s="51" t="n"/>
      <c r="I11" s="51" t="inlineStr">
        <is>
          <t>Hong Kong</t>
        </is>
      </c>
      <c r="J11" s="107" t="n"/>
      <c r="K11" s="108" t="n">
        <v>0.0513</v>
      </c>
      <c r="L11" s="182" t="n">
        <v>0.0525</v>
      </c>
      <c r="M11" s="182" t="n"/>
    </row>
    <row r="12">
      <c r="A12" s="184" t="n"/>
      <c r="B12" s="101" t="inlineStr">
        <is>
          <t>Equity Risk Premium</t>
        </is>
      </c>
      <c r="C12" s="51" t="n"/>
      <c r="D12" s="51" t="n"/>
      <c r="E12" s="51" t="n"/>
      <c r="F12" s="51" t="n"/>
      <c r="G12" s="111" t="n">
        <v>0.0539</v>
      </c>
      <c r="H12" s="51" t="n"/>
      <c r="I12" s="51" t="inlineStr">
        <is>
          <t>Mainland China</t>
        </is>
      </c>
      <c r="J12" s="107" t="n"/>
      <c r="K12" s="108" t="n">
        <v>0.0527</v>
      </c>
      <c r="L12" s="182" t="n">
        <v>0.0508</v>
      </c>
      <c r="M12" s="182" t="n"/>
    </row>
    <row r="13">
      <c r="A13" s="184" t="n"/>
      <c r="B13" s="61" t="inlineStr">
        <is>
          <t>Unlevered Cost of Equity</t>
        </is>
      </c>
      <c r="C13" s="51" t="n"/>
      <c r="D13" s="51" t="n"/>
      <c r="E13" s="51" t="n"/>
      <c r="F13" s="51" t="n"/>
      <c r="G13" s="110">
        <f>+G11*G12+G9</f>
        <v/>
      </c>
      <c r="H13" s="51" t="n"/>
      <c r="I13" s="51" t="inlineStr">
        <is>
          <t>Europe</t>
        </is>
      </c>
      <c r="J13" s="107" t="n"/>
      <c r="K13" s="108" t="n">
        <v>0.0513</v>
      </c>
      <c r="L13" s="182" t="n">
        <v>0.059</v>
      </c>
      <c r="M13" s="182" t="n"/>
    </row>
    <row r="14">
      <c r="A14" s="184" t="n"/>
      <c r="B14" s="101" t="n"/>
      <c r="C14" s="51" t="n"/>
      <c r="D14" s="51" t="n"/>
      <c r="E14" s="51" t="n"/>
      <c r="F14" s="51" t="n"/>
      <c r="G14" s="51" t="n"/>
      <c r="H14" s="51" t="n"/>
      <c r="I14" s="51" t="inlineStr">
        <is>
          <t>Others</t>
        </is>
      </c>
      <c r="J14" s="110">
        <f>1-SUM(J6:J13)</f>
        <v/>
      </c>
      <c r="K14" s="110" t="n">
        <v>0.0533</v>
      </c>
      <c r="L14" s="183">
        <f>+AVERAGE(L6:L13)</f>
        <v/>
      </c>
      <c r="M14" s="183" t="n"/>
    </row>
    <row r="15">
      <c r="A15" s="184" t="n"/>
      <c r="B15" s="105" t="inlineStr">
        <is>
          <t>Debt (in millions)</t>
        </is>
      </c>
      <c r="C15" s="51" t="n"/>
      <c r="D15" s="51" t="n"/>
      <c r="E15" s="51" t="n"/>
      <c r="F15" s="51" t="n"/>
      <c r="G15" s="114" t="n">
        <v>112377</v>
      </c>
      <c r="H15" s="51" t="n"/>
      <c r="I15" s="51" t="n"/>
      <c r="J15" s="115" t="n"/>
      <c r="K15" s="51" t="n"/>
    </row>
    <row r="16">
      <c r="A16" s="184" t="n"/>
      <c r="B16" s="101" t="inlineStr">
        <is>
          <t>% of Debt</t>
        </is>
      </c>
      <c r="C16" s="51" t="n"/>
      <c r="D16" s="51" t="n"/>
      <c r="E16" s="51" t="n"/>
      <c r="F16" s="51" t="n"/>
      <c r="G16" s="109">
        <f>IFERROR(G15/G20,"")</f>
        <v/>
      </c>
      <c r="H16" s="51" t="n"/>
      <c r="I16" s="51" t="n"/>
      <c r="J16" s="115" t="n"/>
      <c r="K16" s="51" t="n"/>
    </row>
    <row r="17">
      <c r="A17" s="184" t="n"/>
      <c r="B17" s="101" t="inlineStr">
        <is>
          <t>Cost of debt</t>
        </is>
      </c>
      <c r="C17" s="51" t="n"/>
      <c r="D17" s="51" t="n"/>
      <c r="E17" s="51" t="n"/>
      <c r="F17" s="51" t="n"/>
      <c r="G17" s="111" t="n">
        <v>0.043</v>
      </c>
      <c r="H17" s="51" t="n"/>
      <c r="I17" s="51" t="n"/>
      <c r="J17" s="51" t="n"/>
      <c r="K17" s="51" t="n"/>
    </row>
    <row r="18">
      <c r="A18" s="184" t="n"/>
      <c r="B18" s="101" t="inlineStr">
        <is>
          <t>Tax Rate</t>
        </is>
      </c>
      <c r="C18" s="51" t="n"/>
      <c r="D18" s="51" t="n"/>
      <c r="E18" s="51" t="n"/>
      <c r="F18" s="51" t="n"/>
      <c r="G18" s="111" t="n">
        <v>0.21</v>
      </c>
      <c r="H18" s="51" t="n"/>
      <c r="I18" s="51" t="n"/>
      <c r="J18" s="51" t="n"/>
      <c r="K18" s="51" t="n"/>
    </row>
    <row r="19">
      <c r="A19" s="184" t="n"/>
      <c r="B19" s="10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</row>
    <row r="20">
      <c r="A20" s="184" t="n"/>
      <c r="B20" s="101" t="inlineStr">
        <is>
          <t>Total</t>
        </is>
      </c>
      <c r="C20" s="51" t="n"/>
      <c r="D20" s="51" t="n"/>
      <c r="E20" s="51" t="n"/>
      <c r="F20" s="51" t="n"/>
      <c r="G20" s="116">
        <f>+G6+G15</f>
        <v/>
      </c>
      <c r="H20" s="51" t="n"/>
      <c r="I20" s="51" t="n"/>
      <c r="J20" s="51" t="n"/>
      <c r="K20" s="51" t="n"/>
    </row>
    <row r="21">
      <c r="A21" s="184" t="n"/>
      <c r="B21" s="10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</row>
    <row r="22">
      <c r="A22" s="184" t="n"/>
      <c r="B22" s="117" t="inlineStr">
        <is>
          <t>WACC</t>
        </is>
      </c>
      <c r="C22" s="118" t="n"/>
      <c r="D22" s="119" t="n"/>
      <c r="E22" s="120" t="n"/>
      <c r="F22" s="118" t="n"/>
      <c r="G22" s="121">
        <f>IFERROR(G7*G8+G16*G17*(1-G18),"")</f>
        <v/>
      </c>
      <c r="H22" s="51" t="n"/>
      <c r="I22" s="51" t="n"/>
      <c r="J22" s="51" t="n"/>
      <c r="K22" s="5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34"/>
  <sheetViews>
    <sheetView showGridLines="0" topLeftCell="A56" workbookViewId="0">
      <selection activeCell="D64" sqref="D64"/>
    </sheetView>
  </sheetViews>
  <sheetFormatPr baseColWidth="8" defaultRowHeight="16.5"/>
  <cols>
    <col width="1.5703125" customWidth="1" style="2" min="1" max="1"/>
    <col width="38.140625" customWidth="1" style="2" min="2" max="2"/>
    <col width="7.42578125" bestFit="1" customWidth="1" style="2" min="3" max="3"/>
    <col width="16.140625" customWidth="1" style="2" min="4" max="8"/>
    <col width="1.85546875" customWidth="1" style="2" min="9" max="9"/>
    <col width="16.140625" customWidth="1" style="2" min="10" max="14"/>
    <col width="9.140625" customWidth="1" style="2" min="15" max="16384"/>
  </cols>
  <sheetData>
    <row r="1">
      <c r="A1" s="122" t="n"/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122" t="n"/>
      <c r="N1" s="122" t="n"/>
      <c r="O1" s="122" t="n"/>
      <c r="P1" s="122" t="n"/>
      <c r="Q1" s="122" t="n"/>
      <c r="R1" s="122" t="n"/>
      <c r="S1" s="122" t="n"/>
      <c r="T1" s="122" t="n"/>
      <c r="U1" s="122" t="n"/>
      <c r="V1" s="122" t="n"/>
      <c r="W1" s="122" t="n"/>
      <c r="X1" s="122" t="n"/>
      <c r="Y1" s="122" t="n"/>
      <c r="Z1" s="122" t="n"/>
    </row>
    <row r="2">
      <c r="A2" s="122" t="n"/>
      <c r="B2" s="122" t="n"/>
      <c r="C2" s="122" t="n"/>
      <c r="I2" s="122" t="n"/>
      <c r="O2" s="122" t="n"/>
      <c r="P2" s="122" t="n"/>
      <c r="Q2" s="122" t="n"/>
      <c r="R2" s="122" t="n"/>
      <c r="S2" s="122" t="n"/>
      <c r="T2" s="122" t="n"/>
      <c r="U2" s="122" t="n"/>
      <c r="V2" s="122" t="n"/>
      <c r="W2" s="122" t="n"/>
      <c r="X2" s="122" t="n"/>
      <c r="Y2" s="122" t="n"/>
      <c r="Z2" s="122" t="n"/>
    </row>
    <row r="3" hidden="1">
      <c r="A3" s="122" t="n"/>
      <c r="B3" s="122" t="n"/>
      <c r="C3" s="122" t="n"/>
      <c r="D3" s="124" t="n">
        <v>2021</v>
      </c>
      <c r="E3" s="125" t="n">
        <v>2022</v>
      </c>
      <c r="F3" s="125" t="n">
        <v>2023</v>
      </c>
      <c r="G3" s="125" t="n">
        <v>2024</v>
      </c>
      <c r="H3" s="125" t="n">
        <v>2025</v>
      </c>
      <c r="I3" s="126" t="n"/>
      <c r="J3" s="125" t="n">
        <v>2026</v>
      </c>
      <c r="K3" s="125" t="n">
        <v>2027</v>
      </c>
      <c r="L3" s="125" t="n">
        <v>2028</v>
      </c>
      <c r="M3" s="125" t="n">
        <v>2029</v>
      </c>
      <c r="N3" s="125" t="n">
        <v>2030</v>
      </c>
      <c r="O3" s="122" t="n"/>
      <c r="P3" s="122" t="n"/>
      <c r="Q3" s="122" t="n"/>
      <c r="R3" s="122" t="n"/>
      <c r="S3" s="122" t="n"/>
      <c r="T3" s="122" t="n"/>
      <c r="U3" s="122" t="n"/>
      <c r="V3" s="122" t="n"/>
      <c r="W3" s="122" t="n"/>
      <c r="X3" s="122" t="n"/>
      <c r="Y3" s="122" t="n"/>
      <c r="Z3" s="122" t="n"/>
    </row>
    <row r="4">
      <c r="A4" s="122" t="n"/>
      <c r="B4" s="122" t="n"/>
      <c r="C4" s="122" t="n"/>
      <c r="D4" s="234" t="inlineStr">
        <is>
          <t>Historical</t>
        </is>
      </c>
      <c r="I4" s="127" t="n"/>
      <c r="J4" s="235" t="inlineStr">
        <is>
          <t>Projected</t>
        </is>
      </c>
      <c r="O4" s="122" t="n"/>
      <c r="P4" s="122" t="n"/>
      <c r="Q4" s="122" t="n"/>
      <c r="R4" s="122" t="n"/>
      <c r="S4" s="122" t="n"/>
      <c r="T4" s="122" t="n"/>
      <c r="U4" s="122" t="n"/>
      <c r="V4" s="122" t="n"/>
      <c r="W4" s="122" t="n"/>
      <c r="X4" s="122" t="n"/>
      <c r="Y4" s="122" t="n"/>
      <c r="Z4" s="122" t="n"/>
    </row>
    <row r="5">
      <c r="A5" s="122" t="n"/>
      <c r="B5" s="238" t="inlineStr">
        <is>
          <t>Income Statement</t>
        </is>
      </c>
      <c r="C5" s="239" t="n"/>
      <c r="D5" s="176" t="n">
        <v>2021</v>
      </c>
      <c r="E5" s="176" t="n">
        <v>2022</v>
      </c>
      <c r="F5" s="176" t="n">
        <v>2023</v>
      </c>
      <c r="G5" s="176" t="n">
        <v>2024</v>
      </c>
      <c r="H5" s="176" t="n">
        <v>2025</v>
      </c>
      <c r="I5" s="240" t="n"/>
      <c r="J5" s="176" t="n">
        <v>2026</v>
      </c>
      <c r="K5" s="176" t="n">
        <v>2027</v>
      </c>
      <c r="L5" s="176" t="n">
        <v>2028</v>
      </c>
      <c r="M5" s="176" t="n">
        <v>2029</v>
      </c>
      <c r="N5" s="176" t="n">
        <v>2030</v>
      </c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</row>
    <row r="6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7" t="n"/>
      <c r="J6" s="122" t="n"/>
      <c r="K6" s="122" t="n"/>
      <c r="L6" s="122" t="n"/>
      <c r="M6" s="122" t="n"/>
      <c r="N6" s="122" t="n"/>
      <c r="O6" s="122" t="n"/>
      <c r="P6" s="122" t="n"/>
      <c r="Q6" s="122" t="n"/>
      <c r="R6" s="122" t="n"/>
      <c r="S6" s="122" t="n"/>
      <c r="T6" s="122" t="n"/>
      <c r="U6" s="122" t="n"/>
      <c r="V6" s="122" t="n"/>
      <c r="W6" s="122" t="n"/>
      <c r="X6" s="122" t="n"/>
      <c r="Y6" s="122" t="n"/>
      <c r="Z6" s="122" t="n"/>
    </row>
    <row r="7">
      <c r="A7" s="122" t="n"/>
      <c r="B7" s="130" t="inlineStr">
        <is>
          <t>Revenue</t>
        </is>
      </c>
      <c r="C7" s="122" t="n"/>
      <c r="D7" s="274" t="n">
        <v>365817</v>
      </c>
      <c r="E7" s="274" t="n">
        <v>394328</v>
      </c>
      <c r="F7" s="274" t="n">
        <v>383285</v>
      </c>
      <c r="G7" s="274" t="n">
        <v>391035</v>
      </c>
      <c r="H7" s="274" t="n">
        <v>416161</v>
      </c>
      <c r="I7" s="275" t="n"/>
      <c r="J7" s="274">
        <f>+H7*(1+J8)</f>
        <v/>
      </c>
      <c r="K7" s="274">
        <f>+J7*(1+K8)</f>
        <v/>
      </c>
      <c r="L7" s="274">
        <f>+K7*(1+L8)</f>
        <v/>
      </c>
      <c r="M7" s="274">
        <f>+L7*(1+M8)</f>
        <v/>
      </c>
      <c r="N7" s="274">
        <f>+M7*(1+N8)</f>
        <v/>
      </c>
      <c r="O7" s="122" t="n"/>
      <c r="P7" s="122" t="n"/>
      <c r="Q7" s="122" t="n"/>
      <c r="R7" s="122" t="n"/>
      <c r="S7" s="122" t="n"/>
      <c r="T7" s="122" t="n"/>
      <c r="U7" s="122" t="n"/>
      <c r="V7" s="122" t="n"/>
      <c r="W7" s="122" t="n"/>
      <c r="X7" s="122" t="n"/>
      <c r="Y7" s="122" t="n"/>
      <c r="Z7" s="122" t="n"/>
    </row>
    <row r="8">
      <c r="A8" s="122" t="n"/>
      <c r="B8" s="133" t="inlineStr">
        <is>
          <t xml:space="preserve">  Growth Rate</t>
        </is>
      </c>
      <c r="C8" s="122" t="n"/>
      <c r="D8" s="134" t="n"/>
      <c r="E8" s="134" t="n">
        <v>0.0779378760418461</v>
      </c>
      <c r="F8" s="134" t="n">
        <v>-0.02800460530319937</v>
      </c>
      <c r="G8" s="134" t="n">
        <v>0.02021994077514111</v>
      </c>
      <c r="H8" s="134" t="n">
        <v>0.06425511782832749</v>
      </c>
      <c r="I8" s="135" t="n"/>
      <c r="J8" s="136">
        <f>+AVERAGE(G8:H8)</f>
        <v/>
      </c>
      <c r="K8" s="136">
        <f>+J8+0.5%</f>
        <v/>
      </c>
      <c r="L8" s="136">
        <f>+K8+0.5%</f>
        <v/>
      </c>
      <c r="M8" s="136">
        <f>+L8+0.5%</f>
        <v/>
      </c>
      <c r="N8" s="136">
        <f>+M8+0.5%</f>
        <v/>
      </c>
      <c r="O8" s="122" t="n"/>
      <c r="P8" s="122" t="n"/>
      <c r="Q8" s="122" t="n"/>
      <c r="R8" s="122" t="n"/>
      <c r="S8" s="122" t="n"/>
      <c r="T8" s="122" t="n"/>
      <c r="U8" s="122" t="n"/>
      <c r="V8" s="122" t="n"/>
      <c r="W8" s="122" t="n"/>
      <c r="X8" s="122" t="n"/>
      <c r="Y8" s="122" t="n"/>
      <c r="Z8" s="122" t="n"/>
    </row>
    <row r="9">
      <c r="A9" s="122" t="n"/>
      <c r="B9" s="122" t="n"/>
      <c r="C9" s="122" t="n"/>
      <c r="D9" s="122" t="n"/>
      <c r="E9" s="122" t="n"/>
      <c r="F9" s="122" t="n"/>
      <c r="G9" s="122" t="n"/>
      <c r="H9" s="122" t="n"/>
      <c r="I9" s="127" t="n"/>
      <c r="J9" s="122" t="n"/>
      <c r="K9" s="122" t="n"/>
      <c r="L9" s="122" t="n"/>
      <c r="M9" s="122" t="n"/>
      <c r="N9" s="122" t="n"/>
      <c r="O9" s="122" t="n"/>
      <c r="P9" s="122" t="n"/>
      <c r="Q9" s="122" t="n"/>
      <c r="R9" s="122" t="n"/>
      <c r="S9" s="122" t="n"/>
      <c r="T9" s="122" t="n"/>
      <c r="U9" s="122" t="n"/>
      <c r="V9" s="122" t="n"/>
      <c r="W9" s="122" t="n"/>
      <c r="X9" s="122" t="n"/>
      <c r="Y9" s="122" t="n"/>
      <c r="Z9" s="122" t="n"/>
    </row>
    <row r="10">
      <c r="A10" s="122" t="n"/>
      <c r="B10" s="130" t="inlineStr">
        <is>
          <t>Gross Profit</t>
        </is>
      </c>
      <c r="C10" s="122" t="n"/>
      <c r="D10" s="274" t="n">
        <v>152836</v>
      </c>
      <c r="E10" s="274" t="n">
        <v>170782</v>
      </c>
      <c r="F10" s="274" t="n">
        <v>169148</v>
      </c>
      <c r="G10" s="274" t="n">
        <v>180683</v>
      </c>
      <c r="H10" s="274" t="n">
        <v>195201</v>
      </c>
      <c r="I10" s="275" t="n"/>
      <c r="J10" s="274">
        <f>+J7*J11</f>
        <v/>
      </c>
      <c r="K10" s="274">
        <f>+K7*K11</f>
        <v/>
      </c>
      <c r="L10" s="274">
        <f>+L7*L11</f>
        <v/>
      </c>
      <c r="M10" s="274">
        <f>+M7*M11</f>
        <v/>
      </c>
      <c r="N10" s="274">
        <f>+N7*N11</f>
        <v/>
      </c>
      <c r="O10" s="122" t="n"/>
      <c r="P10" s="122" t="n"/>
      <c r="Q10" s="122" t="n"/>
      <c r="R10" s="122" t="n"/>
      <c r="S10" s="122" t="n"/>
      <c r="T10" s="122" t="n"/>
      <c r="U10" s="122" t="n"/>
      <c r="V10" s="122" t="n"/>
      <c r="W10" s="122" t="n"/>
      <c r="X10" s="122" t="n"/>
      <c r="Y10" s="122" t="n"/>
      <c r="Z10" s="122" t="n"/>
    </row>
    <row r="11">
      <c r="A11" s="122" t="n"/>
      <c r="B11" s="133" t="inlineStr">
        <is>
          <t xml:space="preserve">  Gross Margin</t>
        </is>
      </c>
      <c r="C11" s="122" t="n"/>
      <c r="D11" s="134" t="n">
        <v>0.4177935962516778</v>
      </c>
      <c r="E11" s="134" t="n">
        <v>0.4330963056136009</v>
      </c>
      <c r="F11" s="134" t="n">
        <v>0.4413112957720756</v>
      </c>
      <c r="G11" s="134" t="n">
        <v>0.4620634981523393</v>
      </c>
      <c r="H11" s="134" t="n">
        <v>0.4690516410716045</v>
      </c>
      <c r="I11" s="135" t="n"/>
      <c r="J11" s="136" t="n">
        <v>0.47</v>
      </c>
      <c r="K11" s="136" t="n">
        <v>0.47</v>
      </c>
      <c r="L11" s="136" t="n">
        <v>0.47</v>
      </c>
      <c r="M11" s="136" t="n">
        <v>0.47</v>
      </c>
      <c r="N11" s="136" t="n">
        <v>0.47</v>
      </c>
      <c r="O11" s="122" t="n"/>
      <c r="P11" s="122" t="n"/>
      <c r="Q11" s="122" t="n"/>
      <c r="R11" s="122" t="n"/>
      <c r="S11" s="122" t="n"/>
      <c r="T11" s="122" t="n"/>
      <c r="U11" s="122" t="n"/>
      <c r="V11" s="122" t="n"/>
      <c r="W11" s="122" t="n"/>
      <c r="X11" s="122" t="n"/>
      <c r="Y11" s="122" t="n"/>
      <c r="Z11" s="122" t="n"/>
    </row>
    <row r="12">
      <c r="A12" s="122" t="n"/>
      <c r="B12" s="122" t="n"/>
      <c r="C12" s="122" t="n"/>
      <c r="D12" s="122" t="n"/>
      <c r="E12" s="122" t="n"/>
      <c r="F12" s="122" t="n"/>
      <c r="G12" s="122" t="n"/>
      <c r="H12" s="122" t="n"/>
      <c r="I12" s="127" t="n"/>
      <c r="J12" s="122" t="n"/>
      <c r="K12" s="122" t="n"/>
      <c r="L12" s="122" t="n"/>
      <c r="M12" s="122" t="n"/>
      <c r="N12" s="122" t="n"/>
      <c r="O12" s="122" t="n"/>
      <c r="P12" s="122" t="n"/>
      <c r="Q12" s="122" t="n"/>
      <c r="R12" s="122" t="n"/>
      <c r="S12" s="122" t="n"/>
      <c r="T12" s="122" t="n"/>
      <c r="U12" s="122" t="n"/>
      <c r="V12" s="122" t="n"/>
      <c r="W12" s="122" t="n"/>
      <c r="X12" s="122" t="n"/>
      <c r="Y12" s="122" t="n"/>
      <c r="Z12" s="122" t="n"/>
    </row>
    <row r="13">
      <c r="A13" s="122" t="n"/>
      <c r="B13" s="122" t="inlineStr">
        <is>
          <t>Research &amp; Development</t>
        </is>
      </c>
      <c r="C13" s="122" t="n"/>
      <c r="D13" s="274" t="n">
        <v>21914</v>
      </c>
      <c r="E13" s="274" t="n">
        <v>26251</v>
      </c>
      <c r="F13" s="274" t="n">
        <v>29915</v>
      </c>
      <c r="G13" s="274" t="n">
        <v>31370</v>
      </c>
      <c r="H13" s="274" t="n">
        <v>34550</v>
      </c>
      <c r="I13" s="275" t="n"/>
      <c r="J13" s="274">
        <f>+J14*J7</f>
        <v/>
      </c>
      <c r="K13" s="274">
        <f>+K14*K7</f>
        <v/>
      </c>
      <c r="L13" s="274">
        <f>+L14*L7</f>
        <v/>
      </c>
      <c r="M13" s="274">
        <f>+M14*M7</f>
        <v/>
      </c>
      <c r="N13" s="274">
        <f>+N14*N7</f>
        <v/>
      </c>
      <c r="O13" s="122" t="n"/>
      <c r="P13" s="122" t="n"/>
      <c r="Q13" s="122" t="n"/>
      <c r="R13" s="122" t="n"/>
      <c r="S13" s="122" t="n"/>
      <c r="T13" s="122" t="n"/>
      <c r="U13" s="122" t="n"/>
      <c r="V13" s="122" t="n"/>
      <c r="W13" s="122" t="n"/>
      <c r="X13" s="122" t="n"/>
      <c r="Y13" s="122" t="n"/>
      <c r="Z13" s="122" t="n"/>
    </row>
    <row r="14">
      <c r="A14" s="122" t="n"/>
      <c r="B14" s="133" t="inlineStr">
        <is>
          <t xml:space="preserve">  % of Revenue</t>
        </is>
      </c>
      <c r="C14" s="122" t="n"/>
      <c r="D14" s="134" t="n">
        <v>0.05990426907442793</v>
      </c>
      <c r="E14" s="134" t="n">
        <v>0.06657148363798665</v>
      </c>
      <c r="F14" s="134" t="n">
        <v>0.07804897139204509</v>
      </c>
      <c r="G14" s="134" t="n">
        <v>0.08022299794136074</v>
      </c>
      <c r="H14" s="134" t="n">
        <v>0.08302075398703868</v>
      </c>
      <c r="I14" s="135" t="n"/>
      <c r="J14" s="136" t="n">
        <v>0.07355369520657182</v>
      </c>
      <c r="K14" s="136" t="n">
        <v>0.07355369520657182</v>
      </c>
      <c r="L14" s="136" t="n">
        <v>0.07355369520657182</v>
      </c>
      <c r="M14" s="136" t="n">
        <v>0.07355369520657182</v>
      </c>
      <c r="N14" s="136" t="n">
        <v>0.07355369520657182</v>
      </c>
      <c r="O14" s="122" t="n"/>
      <c r="P14" s="122" t="n"/>
      <c r="Q14" s="122" t="n"/>
      <c r="R14" s="122" t="n"/>
      <c r="S14" s="122" t="n"/>
      <c r="T14" s="122" t="n"/>
      <c r="U14" s="122" t="n"/>
      <c r="V14" s="122" t="n"/>
      <c r="W14" s="122" t="n"/>
      <c r="X14" s="122" t="n"/>
      <c r="Y14" s="122" t="n"/>
      <c r="Z14" s="122" t="n"/>
    </row>
    <row r="15">
      <c r="A15" s="122" t="n"/>
      <c r="B15" s="122" t="n"/>
      <c r="C15" s="122" t="n"/>
      <c r="D15" s="122" t="n"/>
      <c r="E15" s="122" t="n"/>
      <c r="F15" s="122" t="n"/>
      <c r="G15" s="122" t="n"/>
      <c r="H15" s="122" t="n"/>
      <c r="I15" s="127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</row>
    <row r="16">
      <c r="A16" s="122" t="n"/>
      <c r="B16" s="122" t="inlineStr">
        <is>
          <t>SG&amp;A &amp; Other Operating Expenses</t>
        </is>
      </c>
      <c r="C16" s="122" t="n"/>
      <c r="D16" s="274" t="n">
        <v>21973</v>
      </c>
      <c r="E16" s="274" t="n">
        <v>25094</v>
      </c>
      <c r="F16" s="274" t="n">
        <v>24932</v>
      </c>
      <c r="G16" s="274" t="n">
        <v>26097</v>
      </c>
      <c r="H16" s="274" t="n">
        <v>27601</v>
      </c>
      <c r="I16" s="275" t="n"/>
      <c r="J16" s="274">
        <f>+J17*J7</f>
        <v/>
      </c>
      <c r="K16" s="274">
        <f>+K17*K7</f>
        <v/>
      </c>
      <c r="L16" s="274">
        <f>+L17*L7</f>
        <v/>
      </c>
      <c r="M16" s="274">
        <f>+M17*M7</f>
        <v/>
      </c>
      <c r="N16" s="274">
        <f>+N17*N7</f>
        <v/>
      </c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</row>
    <row r="17">
      <c r="A17" s="122" t="n"/>
      <c r="B17" s="133" t="inlineStr">
        <is>
          <t xml:space="preserve">  % of Revenue</t>
        </is>
      </c>
      <c r="C17" s="122" t="n"/>
      <c r="D17" s="134" t="n">
        <v>0.06006555190163388</v>
      </c>
      <c r="E17" s="134" t="n">
        <v>0.06363737802032826</v>
      </c>
      <c r="F17" s="134" t="n">
        <v>0.06504820172978332</v>
      </c>
      <c r="G17" s="134" t="n">
        <v>0.06673827151022287</v>
      </c>
      <c r="H17" s="134" t="n">
        <v>0.06632288945864702</v>
      </c>
      <c r="I17" s="135" t="n"/>
      <c r="J17" s="136" t="n">
        <v>0.06436245852412306</v>
      </c>
      <c r="K17" s="136" t="n">
        <v>0.06436245852412306</v>
      </c>
      <c r="L17" s="136" t="n">
        <v>0.06436245852412306</v>
      </c>
      <c r="M17" s="136" t="n">
        <v>0.06436245852412306</v>
      </c>
      <c r="N17" s="136" t="n">
        <v>0.06436245852412306</v>
      </c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</row>
    <row r="18">
      <c r="A18" s="122" t="n"/>
      <c r="B18" s="122" t="n"/>
      <c r="C18" s="122" t="n"/>
      <c r="D18" s="122" t="n"/>
      <c r="E18" s="122" t="n"/>
      <c r="F18" s="122" t="n"/>
      <c r="G18" s="122" t="n"/>
      <c r="H18" s="122" t="n"/>
      <c r="I18" s="127" t="n"/>
      <c r="J18" s="122" t="n"/>
      <c r="K18" s="122" t="n"/>
      <c r="L18" s="122" t="n"/>
      <c r="M18" s="122" t="n"/>
      <c r="N18" s="122" t="n"/>
      <c r="O18" s="122" t="n"/>
      <c r="P18" s="122" t="n"/>
      <c r="Q18" s="122" t="n"/>
      <c r="R18" s="122" t="n"/>
      <c r="S18" s="122" t="n"/>
      <c r="T18" s="122" t="n"/>
      <c r="U18" s="122" t="n"/>
      <c r="V18" s="122" t="n"/>
      <c r="W18" s="122" t="n"/>
      <c r="X18" s="122" t="n"/>
      <c r="Y18" s="122" t="n"/>
      <c r="Z18" s="122" t="n"/>
    </row>
    <row r="19">
      <c r="A19" s="122" t="n"/>
      <c r="B19" s="130" t="inlineStr">
        <is>
          <t>Operating Income (EBIT)</t>
        </is>
      </c>
      <c r="C19" s="122" t="n"/>
      <c r="D19" s="274" t="n">
        <v>108949</v>
      </c>
      <c r="E19" s="274" t="n">
        <v>119437</v>
      </c>
      <c r="F19" s="274" t="n">
        <v>114301</v>
      </c>
      <c r="G19" s="274" t="n">
        <v>123216</v>
      </c>
      <c r="H19" s="276" t="n">
        <v>133050</v>
      </c>
      <c r="I19" s="274" t="n"/>
      <c r="J19" s="277">
        <f>J10-J13-J16</f>
        <v/>
      </c>
      <c r="K19" s="277">
        <f>K10-K13-K16</f>
        <v/>
      </c>
      <c r="L19" s="277">
        <f>L10-L13-L16</f>
        <v/>
      </c>
      <c r="M19" s="277">
        <f>M10-M13-M16</f>
        <v/>
      </c>
      <c r="N19" s="277">
        <f>N10-N13-N16</f>
        <v/>
      </c>
      <c r="O19" s="122" t="n"/>
      <c r="P19" s="122" t="n"/>
      <c r="Q19" s="122" t="n"/>
      <c r="R19" s="122" t="n"/>
      <c r="S19" s="122" t="n"/>
      <c r="T19" s="122" t="n"/>
      <c r="U19" s="122" t="n"/>
      <c r="V19" s="122" t="n"/>
      <c r="W19" s="122" t="n"/>
      <c r="X19" s="122" t="n"/>
      <c r="Y19" s="122" t="n"/>
      <c r="Z19" s="122" t="n"/>
    </row>
    <row r="20">
      <c r="A20" s="122" t="n"/>
      <c r="B20" s="133" t="inlineStr">
        <is>
          <t xml:space="preserve">  Operating Margin</t>
        </is>
      </c>
      <c r="C20" s="122" t="n"/>
      <c r="D20" s="134" t="n">
        <v>0.2978237752756159</v>
      </c>
      <c r="E20" s="134" t="n">
        <v>0.3028874439552859</v>
      </c>
      <c r="F20" s="134" t="n">
        <v>0.2982141226502472</v>
      </c>
      <c r="G20" s="134" t="n">
        <v>0.3151022287007557</v>
      </c>
      <c r="H20" s="134" t="n">
        <v>0.3197079976259188</v>
      </c>
      <c r="I20" s="135" t="n"/>
      <c r="J20" s="134">
        <f>IFERROR(J19/J7,"")</f>
        <v/>
      </c>
      <c r="K20" s="134">
        <f>IFERROR(K19/K7,"")</f>
        <v/>
      </c>
      <c r="L20" s="134">
        <f>IFERROR(L19/L7,"")</f>
        <v/>
      </c>
      <c r="M20" s="134">
        <f>IFERROR(M19/M7,"")</f>
        <v/>
      </c>
      <c r="N20" s="134">
        <f>IFERROR(N19/N7,"")</f>
        <v/>
      </c>
      <c r="O20" s="122" t="n"/>
      <c r="P20" s="122" t="n"/>
      <c r="Q20" s="122" t="n"/>
      <c r="R20" s="122" t="n"/>
      <c r="S20" s="122" t="n"/>
      <c r="T20" s="122" t="n"/>
      <c r="U20" s="122" t="n"/>
      <c r="V20" s="122" t="n"/>
      <c r="W20" s="122" t="n"/>
      <c r="X20" s="122" t="n"/>
      <c r="Y20" s="122" t="n"/>
      <c r="Z20" s="122" t="n"/>
    </row>
    <row r="21">
      <c r="A21" s="122" t="n"/>
      <c r="B21" s="122" t="n"/>
      <c r="C21" s="122" t="n"/>
      <c r="D21" s="122" t="n"/>
      <c r="E21" s="122" t="n"/>
      <c r="F21" s="122" t="n"/>
      <c r="G21" s="122" t="n"/>
      <c r="H21" s="122" t="n"/>
      <c r="I21" s="127" t="n"/>
      <c r="J21" s="122" t="n"/>
      <c r="K21" s="122" t="n"/>
      <c r="L21" s="122" t="n"/>
      <c r="M21" s="122" t="n"/>
      <c r="N21" s="122" t="n"/>
      <c r="O21" s="122" t="n"/>
      <c r="P21" s="122" t="n"/>
      <c r="Q21" s="122" t="n"/>
      <c r="R21" s="122" t="n"/>
      <c r="S21" s="122" t="n"/>
      <c r="T21" s="122" t="n"/>
      <c r="U21" s="122" t="n"/>
      <c r="V21" s="122" t="n"/>
      <c r="W21" s="122" t="n"/>
      <c r="X21" s="122" t="n"/>
      <c r="Y21" s="122" t="n"/>
      <c r="Z21" s="122" t="n"/>
    </row>
    <row r="22">
      <c r="A22" s="122" t="n"/>
      <c r="B22" s="238" t="inlineStr">
        <is>
          <t>Cash Flow Items</t>
        </is>
      </c>
      <c r="O22" s="122" t="n"/>
      <c r="P22" s="122" t="n"/>
      <c r="Q22" s="122" t="n"/>
      <c r="R22" s="122" t="n"/>
      <c r="S22" s="122" t="n"/>
      <c r="T22" s="122" t="n"/>
      <c r="U22" s="122" t="n"/>
      <c r="V22" s="122" t="n"/>
      <c r="W22" s="122" t="n"/>
      <c r="X22" s="122" t="n"/>
      <c r="Y22" s="122" t="n"/>
      <c r="Z22" s="122" t="n"/>
    </row>
    <row r="23">
      <c r="A23" s="122" t="n"/>
      <c r="B23" s="122" t="n"/>
      <c r="C23" s="122" t="n"/>
      <c r="D23" s="122" t="n"/>
      <c r="E23" s="122" t="n"/>
      <c r="F23" s="122" t="n"/>
      <c r="G23" s="122" t="n"/>
      <c r="H23" s="122" t="n"/>
      <c r="I23" s="127" t="n"/>
      <c r="J23" s="122" t="n"/>
      <c r="K23" s="122" t="n"/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2" t="n"/>
      <c r="W23" s="122" t="n"/>
      <c r="X23" s="122" t="n"/>
      <c r="Y23" s="122" t="n"/>
      <c r="Z23" s="122" t="n"/>
    </row>
    <row r="24">
      <c r="A24" s="122" t="n"/>
      <c r="B24" s="130" t="inlineStr">
        <is>
          <t>Depreciation &amp; Amortization</t>
        </is>
      </c>
      <c r="C24" s="122" t="n"/>
      <c r="D24" s="274" t="n">
        <v>11284</v>
      </c>
      <c r="E24" s="274" t="n">
        <v>11104</v>
      </c>
      <c r="F24" s="274" t="n">
        <v>11519</v>
      </c>
      <c r="G24" s="274" t="n">
        <v>11445</v>
      </c>
      <c r="H24" s="274" t="n">
        <v>11698</v>
      </c>
      <c r="I24" s="275" t="n"/>
      <c r="J24" s="274">
        <f>+J25*$J$7</f>
        <v/>
      </c>
      <c r="K24" s="274">
        <f>+K25*K7</f>
        <v/>
      </c>
      <c r="L24" s="274">
        <f>+L25*L7</f>
        <v/>
      </c>
      <c r="M24" s="274">
        <f>+M25*M7</f>
        <v/>
      </c>
      <c r="N24" s="274">
        <f>+N25*N7</f>
        <v/>
      </c>
      <c r="O24" s="122" t="n"/>
      <c r="P24" s="122" t="n"/>
      <c r="Q24" s="122" t="n"/>
      <c r="R24" s="122" t="n"/>
      <c r="S24" s="122" t="n"/>
      <c r="T24" s="122" t="n"/>
      <c r="U24" s="122" t="n"/>
      <c r="V24" s="122" t="n"/>
      <c r="W24" s="122" t="n"/>
      <c r="X24" s="122" t="n"/>
      <c r="Y24" s="122" t="n"/>
      <c r="Z24" s="122" t="n"/>
    </row>
    <row r="25">
      <c r="A25" s="122" t="n"/>
      <c r="B25" s="133" t="inlineStr">
        <is>
          <t xml:space="preserve">  % of Revenue</t>
        </is>
      </c>
      <c r="C25" s="122" t="n"/>
      <c r="D25" s="134" t="n">
        <v>0.03084602410494865</v>
      </c>
      <c r="E25" s="134" t="n">
        <v>0.02815929885780366</v>
      </c>
      <c r="F25" s="134" t="n">
        <v>0.03005335455340021</v>
      </c>
      <c r="G25" s="134" t="n">
        <v>0.02926847980359814</v>
      </c>
      <c r="H25" s="134" t="n">
        <v>0.02810931346281847</v>
      </c>
      <c r="I25" s="135" t="n"/>
      <c r="J25" s="136" t="n">
        <v>0.028</v>
      </c>
      <c r="K25" s="136" t="n">
        <v>0.028</v>
      </c>
      <c r="L25" s="136" t="n">
        <v>0.028</v>
      </c>
      <c r="M25" s="136" t="n">
        <v>0.028</v>
      </c>
      <c r="N25" s="136" t="n">
        <v>0.028</v>
      </c>
      <c r="O25" s="122" t="n"/>
      <c r="P25" s="122" t="n"/>
      <c r="Q25" s="122" t="n"/>
      <c r="R25" s="122" t="n"/>
      <c r="S25" s="122" t="n"/>
      <c r="T25" s="122" t="n"/>
      <c r="U25" s="122" t="n"/>
      <c r="V25" s="122" t="n"/>
      <c r="W25" s="122" t="n"/>
      <c r="X25" s="122" t="n"/>
      <c r="Y25" s="122" t="n"/>
      <c r="Z25" s="122" t="n"/>
    </row>
    <row r="26">
      <c r="A26" s="122" t="n"/>
      <c r="B26" s="122" t="n"/>
      <c r="C26" s="122" t="n"/>
      <c r="D26" s="122" t="n"/>
      <c r="E26" s="122" t="n"/>
      <c r="F26" s="122" t="n"/>
      <c r="G26" s="122" t="n"/>
      <c r="H26" s="122" t="n"/>
      <c r="I26" s="127" t="n"/>
      <c r="J26" s="122" t="n"/>
      <c r="K26" s="122" t="n"/>
      <c r="L26" s="122" t="n"/>
      <c r="M26" s="122" t="n"/>
      <c r="N26" s="122" t="n"/>
      <c r="O26" s="122" t="n"/>
      <c r="P26" s="122" t="n"/>
      <c r="Q26" s="122" t="n"/>
      <c r="R26" s="122" t="n"/>
      <c r="S26" s="122" t="n"/>
      <c r="T26" s="122" t="n"/>
      <c r="U26" s="122" t="n"/>
      <c r="V26" s="122" t="n"/>
      <c r="W26" s="122" t="n"/>
      <c r="X26" s="122" t="n"/>
      <c r="Y26" s="122" t="n"/>
      <c r="Z26" s="122" t="n"/>
    </row>
    <row r="27">
      <c r="A27" s="122" t="n"/>
      <c r="B27" s="130" t="inlineStr">
        <is>
          <t>Stock-Based Compensation</t>
        </is>
      </c>
      <c r="C27" s="122" t="n"/>
      <c r="D27" s="274" t="n">
        <v>7906</v>
      </c>
      <c r="E27" s="274" t="n">
        <v>9038</v>
      </c>
      <c r="F27" s="274" t="n">
        <v>10833</v>
      </c>
      <c r="G27" s="274" t="n">
        <v>11688</v>
      </c>
      <c r="H27" s="274" t="n">
        <v>12863</v>
      </c>
      <c r="I27" s="275" t="n"/>
      <c r="J27" s="274">
        <f>+J28*J$7</f>
        <v/>
      </c>
      <c r="K27" s="274">
        <f>+K28*K$7</f>
        <v/>
      </c>
      <c r="L27" s="274">
        <f>+L28*L$7</f>
        <v/>
      </c>
      <c r="M27" s="274">
        <f>+M28*M$7</f>
        <v/>
      </c>
      <c r="N27" s="274">
        <f>+N28*N$7</f>
        <v/>
      </c>
      <c r="O27" s="122" t="n"/>
      <c r="P27" s="122" t="n"/>
      <c r="Q27" s="122" t="n"/>
      <c r="R27" s="122" t="n"/>
      <c r="S27" s="122" t="n"/>
      <c r="T27" s="122" t="n"/>
      <c r="U27" s="122" t="n"/>
      <c r="V27" s="122" t="n"/>
      <c r="W27" s="122" t="n"/>
      <c r="X27" s="122" t="n"/>
      <c r="Y27" s="122" t="n"/>
      <c r="Z27" s="122" t="n"/>
    </row>
    <row r="28">
      <c r="A28" s="122" t="n"/>
      <c r="B28" s="133" t="inlineStr">
        <is>
          <t xml:space="preserve">  % of Revenue</t>
        </is>
      </c>
      <c r="C28" s="122" t="n"/>
      <c r="D28" s="134" t="n">
        <v>0.02161189884559766</v>
      </c>
      <c r="E28" s="134" t="n">
        <v>0.0229200056805502</v>
      </c>
      <c r="F28" s="134" t="n">
        <v>0.0282635636667232</v>
      </c>
      <c r="G28" s="134" t="n">
        <v>0.02988990755303234</v>
      </c>
      <c r="H28" s="134" t="n">
        <v>0.03090871081144076</v>
      </c>
      <c r="I28" s="135" t="n"/>
      <c r="J28" s="136" t="n">
        <v>0.03</v>
      </c>
      <c r="K28" s="136" t="n">
        <v>0.03</v>
      </c>
      <c r="L28" s="136" t="n">
        <v>0.03</v>
      </c>
      <c r="M28" s="136" t="n">
        <v>0.03</v>
      </c>
      <c r="N28" s="136" t="n">
        <v>0.03</v>
      </c>
      <c r="O28" s="122" t="n"/>
      <c r="P28" s="122" t="n"/>
      <c r="Q28" s="122" t="n"/>
      <c r="R28" s="122" t="n"/>
      <c r="S28" s="122" t="n"/>
      <c r="T28" s="122" t="n"/>
      <c r="U28" s="122" t="n"/>
      <c r="V28" s="122" t="n"/>
      <c r="W28" s="122" t="n"/>
      <c r="X28" s="122" t="n"/>
      <c r="Y28" s="122" t="n"/>
      <c r="Z28" s="122" t="n"/>
    </row>
    <row r="29">
      <c r="A29" s="122" t="n"/>
      <c r="B29" s="122" t="n"/>
      <c r="C29" s="122" t="n"/>
      <c r="D29" s="122" t="n"/>
      <c r="E29" s="122" t="n"/>
      <c r="F29" s="122" t="n"/>
      <c r="G29" s="122" t="n"/>
      <c r="H29" s="122" t="n"/>
      <c r="I29" s="127" t="n"/>
      <c r="J29" s="122" t="n"/>
      <c r="K29" s="122" t="n"/>
      <c r="L29" s="122" t="n"/>
      <c r="M29" s="122" t="n"/>
      <c r="N29" s="122" t="n"/>
      <c r="O29" s="122" t="n"/>
      <c r="P29" s="122" t="n"/>
      <c r="Q29" s="122" t="n"/>
      <c r="R29" s="122" t="n"/>
      <c r="S29" s="122" t="n"/>
      <c r="T29" s="122" t="n"/>
      <c r="U29" s="122" t="n"/>
      <c r="V29" s="122" t="n"/>
      <c r="W29" s="122" t="n"/>
      <c r="X29" s="122" t="n"/>
      <c r="Y29" s="122" t="n"/>
      <c r="Z29" s="122" t="n"/>
    </row>
    <row r="30">
      <c r="A30" s="122" t="n"/>
      <c r="B30" s="130" t="inlineStr">
        <is>
          <t>Capital Expenditures</t>
        </is>
      </c>
      <c r="C30" s="122" t="n"/>
      <c r="D30" s="274" t="n">
        <v>-11085</v>
      </c>
      <c r="E30" s="274" t="n">
        <v>-10708</v>
      </c>
      <c r="F30" s="274" t="n">
        <v>-10959</v>
      </c>
      <c r="G30" s="274" t="n">
        <v>-9447</v>
      </c>
      <c r="H30" s="274" t="n">
        <v>-12715</v>
      </c>
      <c r="I30" s="275" t="n"/>
      <c r="J30" s="274">
        <f>-J31*J$7</f>
        <v/>
      </c>
      <c r="K30" s="274">
        <f>-K31*K$7</f>
        <v/>
      </c>
      <c r="L30" s="274">
        <f>-L31*L$7</f>
        <v/>
      </c>
      <c r="M30" s="274">
        <f>-M31*M$7</f>
        <v/>
      </c>
      <c r="N30" s="274">
        <f>-N31*N$7</f>
        <v/>
      </c>
      <c r="O30" s="122" t="n"/>
      <c r="P30" s="122" t="n"/>
      <c r="Q30" s="122" t="n"/>
      <c r="R30" s="122" t="n"/>
      <c r="S30" s="122" t="n"/>
      <c r="T30" s="122" t="n"/>
      <c r="U30" s="122" t="n"/>
      <c r="V30" s="122" t="n"/>
      <c r="W30" s="122" t="n"/>
      <c r="X30" s="122" t="n"/>
      <c r="Y30" s="122" t="n"/>
      <c r="Z30" s="122" t="n"/>
    </row>
    <row r="31">
      <c r="A31" s="122" t="n"/>
      <c r="B31" s="133" t="inlineStr">
        <is>
          <t xml:space="preserve">  % of Revenue</t>
        </is>
      </c>
      <c r="C31" s="122" t="n"/>
      <c r="D31" s="134" t="n">
        <v>0.03030203626403366</v>
      </c>
      <c r="E31" s="134" t="n">
        <v>0.02715505873283155</v>
      </c>
      <c r="F31" s="134" t="n">
        <v>0.02859230076835775</v>
      </c>
      <c r="G31" s="134" t="n">
        <v>0.02415896275269477</v>
      </c>
      <c r="H31" s="134" t="n">
        <v>0.03055307921693768</v>
      </c>
      <c r="I31" s="135" t="n"/>
      <c r="J31" s="136" t="n">
        <v>0.03</v>
      </c>
      <c r="K31" s="136" t="n">
        <v>0.03</v>
      </c>
      <c r="L31" s="136" t="n">
        <v>0.03</v>
      </c>
      <c r="M31" s="136" t="n">
        <v>0.03</v>
      </c>
      <c r="N31" s="136" t="n">
        <v>0.03</v>
      </c>
      <c r="O31" s="122" t="n"/>
      <c r="P31" s="122" t="n"/>
      <c r="Q31" s="122" t="n"/>
      <c r="R31" s="122" t="n"/>
      <c r="S31" s="122" t="n"/>
      <c r="T31" s="122" t="n"/>
      <c r="U31" s="122" t="n"/>
      <c r="V31" s="122" t="n"/>
      <c r="W31" s="122" t="n"/>
      <c r="X31" s="122" t="n"/>
      <c r="Y31" s="122" t="n"/>
      <c r="Z31" s="122" t="n"/>
    </row>
    <row r="32">
      <c r="A32" s="122" t="n"/>
      <c r="B32" s="122" t="n"/>
      <c r="C32" s="122" t="n"/>
      <c r="D32" s="122" t="n"/>
      <c r="E32" s="122" t="n"/>
      <c r="F32" s="122" t="n"/>
      <c r="G32" s="122" t="n"/>
      <c r="H32" s="122" t="n"/>
      <c r="I32" s="127" t="n"/>
      <c r="J32" s="122" t="n"/>
      <c r="K32" s="122" t="n"/>
      <c r="L32" s="122" t="n"/>
      <c r="M32" s="122" t="n"/>
      <c r="N32" s="122" t="n"/>
      <c r="O32" s="122" t="n"/>
      <c r="P32" s="122" t="n"/>
      <c r="Q32" s="122" t="n"/>
      <c r="R32" s="122" t="n"/>
      <c r="S32" s="122" t="n"/>
      <c r="T32" s="122" t="n"/>
      <c r="U32" s="122" t="n"/>
      <c r="V32" s="122" t="n"/>
      <c r="W32" s="122" t="n"/>
      <c r="X32" s="122" t="n"/>
      <c r="Y32" s="122" t="n"/>
      <c r="Z32" s="122" t="n"/>
    </row>
    <row r="33">
      <c r="A33" s="122" t="n"/>
      <c r="B33" s="130" t="inlineStr">
        <is>
          <t>Change in Net Working Capital</t>
        </is>
      </c>
      <c r="C33" s="122" t="n"/>
      <c r="D33" s="274" t="n">
        <v>210</v>
      </c>
      <c r="E33" s="274" t="n">
        <v>-9080</v>
      </c>
      <c r="F33" s="274" t="n">
        <v>4213</v>
      </c>
      <c r="G33" s="274" t="n">
        <v>-1492</v>
      </c>
      <c r="H33" s="274" t="n">
        <v>3899</v>
      </c>
      <c r="I33" s="275" t="n"/>
      <c r="J33" s="274">
        <f>+J34*(J7-H7)</f>
        <v/>
      </c>
      <c r="K33" s="274">
        <f>+K34*(K7-J7)</f>
        <v/>
      </c>
      <c r="L33" s="274">
        <f>+L34*(L7-K7)</f>
        <v/>
      </c>
      <c r="M33" s="274">
        <f>+M34*(M7-L7)</f>
        <v/>
      </c>
      <c r="N33" s="274">
        <f>+N34*(N7-M7)</f>
        <v/>
      </c>
      <c r="O33" s="122" t="n"/>
      <c r="P33" s="122" t="n"/>
      <c r="Q33" s="122" t="n"/>
      <c r="R33" s="122" t="n"/>
      <c r="S33" s="122" t="n"/>
      <c r="T33" s="122" t="n"/>
      <c r="U33" s="122" t="n"/>
      <c r="V33" s="122" t="n"/>
      <c r="W33" s="122" t="n"/>
      <c r="X33" s="122" t="n"/>
      <c r="Y33" s="122" t="n"/>
      <c r="Z33" s="122" t="n"/>
    </row>
    <row r="34">
      <c r="A34" s="122" t="n"/>
      <c r="B34" s="133" t="inlineStr">
        <is>
          <t xml:space="preserve">  % of Δ Revenue</t>
        </is>
      </c>
      <c r="C34" s="122" t="n"/>
      <c r="D34" s="134" t="n"/>
      <c r="E34" s="134" t="n">
        <v>-0.3184735716039424</v>
      </c>
      <c r="F34" s="134" t="n">
        <v>-0.3815086480123155</v>
      </c>
      <c r="G34" s="134" t="n">
        <v>-0.1925161290322581</v>
      </c>
      <c r="H34" s="134" t="n">
        <v>0.1551779033670302</v>
      </c>
      <c r="I34" s="135" t="n"/>
      <c r="J34" s="136" t="n">
        <v>0.1</v>
      </c>
      <c r="K34" s="136" t="n">
        <v>0.1</v>
      </c>
      <c r="L34" s="136" t="n">
        <v>0.1</v>
      </c>
      <c r="M34" s="136" t="n">
        <v>0.1</v>
      </c>
      <c r="N34" s="136" t="n">
        <v>0.1</v>
      </c>
      <c r="O34" s="122" t="n"/>
      <c r="P34" s="122" t="n"/>
      <c r="Q34" s="122" t="n"/>
      <c r="R34" s="122" t="n"/>
      <c r="S34" s="122" t="n"/>
      <c r="T34" s="122" t="n"/>
      <c r="U34" s="122" t="n"/>
      <c r="V34" s="122" t="n"/>
      <c r="W34" s="122" t="n"/>
      <c r="X34" s="122" t="n"/>
      <c r="Y34" s="122" t="n"/>
      <c r="Z34" s="122" t="n"/>
    </row>
    <row r="35">
      <c r="A35" s="122" t="n"/>
      <c r="B35" s="122" t="n"/>
      <c r="C35" s="122" t="n"/>
      <c r="D35" s="122" t="n"/>
      <c r="E35" s="122" t="n"/>
      <c r="F35" s="122" t="n"/>
      <c r="G35" s="122" t="n"/>
      <c r="H35" s="122" t="n"/>
      <c r="I35" s="127" t="n"/>
      <c r="J35" s="122" t="n"/>
      <c r="K35" s="122" t="n"/>
      <c r="L35" s="122" t="n"/>
      <c r="M35" s="122" t="n"/>
      <c r="N35" s="122" t="n"/>
      <c r="O35" s="122" t="n"/>
      <c r="P35" s="122" t="n"/>
      <c r="Q35" s="122" t="n"/>
      <c r="R35" s="122" t="n"/>
      <c r="S35" s="122" t="n"/>
      <c r="T35" s="122" t="n"/>
      <c r="U35" s="122" t="n"/>
      <c r="V35" s="122" t="n"/>
      <c r="W35" s="122" t="n"/>
      <c r="X35" s="122" t="n"/>
      <c r="Y35" s="122" t="n"/>
      <c r="Z35" s="122" t="n"/>
    </row>
    <row r="36">
      <c r="A36" s="122" t="n"/>
      <c r="B36" s="238" t="inlineStr">
        <is>
          <t>Unlevered Free Cash Flow</t>
        </is>
      </c>
      <c r="O36" s="122" t="n"/>
      <c r="P36" s="122" t="n"/>
      <c r="Q36" s="122" t="n"/>
      <c r="R36" s="122" t="n"/>
      <c r="S36" s="122" t="n"/>
      <c r="T36" s="122" t="n"/>
      <c r="U36" s="122" t="n"/>
      <c r="V36" s="122" t="n"/>
      <c r="W36" s="122" t="n"/>
      <c r="X36" s="122" t="n"/>
      <c r="Y36" s="122" t="n"/>
      <c r="Z36" s="122" t="n"/>
    </row>
    <row r="37">
      <c r="A37" s="122" t="n"/>
      <c r="B37" s="122" t="n"/>
      <c r="C37" s="122" t="n"/>
      <c r="D37" s="122" t="n"/>
      <c r="E37" s="122" t="n"/>
      <c r="F37" s="122" t="n"/>
      <c r="G37" s="122" t="n"/>
      <c r="H37" s="122" t="n"/>
      <c r="I37" s="127" t="n"/>
      <c r="J37" s="122" t="n"/>
      <c r="K37" s="122" t="n"/>
      <c r="L37" s="122" t="n"/>
      <c r="M37" s="122" t="n"/>
      <c r="N37" s="122" t="n"/>
      <c r="O37" s="122" t="n"/>
      <c r="P37" s="122" t="n"/>
      <c r="Q37" s="122" t="n"/>
      <c r="R37" s="122" t="n"/>
      <c r="S37" s="122" t="n"/>
      <c r="T37" s="122" t="n"/>
      <c r="U37" s="122" t="n"/>
      <c r="V37" s="122" t="n"/>
      <c r="W37" s="122" t="n"/>
      <c r="X37" s="122" t="n"/>
      <c r="Y37" s="122" t="n"/>
      <c r="Z37" s="122" t="n"/>
    </row>
    <row r="38">
      <c r="A38" s="122" t="n"/>
      <c r="B38" s="122" t="inlineStr">
        <is>
          <t>EBIT</t>
        </is>
      </c>
      <c r="C38" s="122" t="n"/>
      <c r="D38" s="278" t="n">
        <v>108949</v>
      </c>
      <c r="E38" s="278" t="n">
        <v>119437</v>
      </c>
      <c r="F38" s="278" t="n">
        <v>114301</v>
      </c>
      <c r="G38" s="278" t="n">
        <v>123216</v>
      </c>
      <c r="H38" s="278" t="n">
        <v>133050</v>
      </c>
      <c r="I38" s="275" t="n"/>
      <c r="J38" s="278">
        <f>+J19</f>
        <v/>
      </c>
      <c r="K38" s="278">
        <f>+K19</f>
        <v/>
      </c>
      <c r="L38" s="278">
        <f>+L19</f>
        <v/>
      </c>
      <c r="M38" s="278">
        <f>+M19</f>
        <v/>
      </c>
      <c r="N38" s="278">
        <f>+N19</f>
        <v/>
      </c>
      <c r="O38" s="122" t="n"/>
      <c r="P38" s="122" t="n"/>
      <c r="Q38" s="122" t="n"/>
      <c r="R38" s="122" t="n"/>
      <c r="S38" s="122" t="n"/>
      <c r="T38" s="122" t="n"/>
      <c r="U38" s="122" t="n"/>
      <c r="V38" s="122" t="n"/>
      <c r="W38" s="122" t="n"/>
      <c r="X38" s="122" t="n"/>
      <c r="Y38" s="122" t="n"/>
      <c r="Z38" s="122" t="n"/>
    </row>
    <row r="39">
      <c r="A39" s="122" t="n"/>
      <c r="B39" s="133" t="inlineStr">
        <is>
          <t xml:space="preserve">  Operating Margin</t>
        </is>
      </c>
      <c r="C39" s="122" t="n"/>
      <c r="D39" s="134" t="n"/>
      <c r="E39" s="134" t="n"/>
      <c r="F39" s="134" t="n"/>
      <c r="G39" s="134" t="n"/>
      <c r="H39" s="134" t="n"/>
      <c r="I39" s="135" t="n"/>
      <c r="J39" s="134">
        <f>+J38/J7</f>
        <v/>
      </c>
      <c r="K39" s="134">
        <f>+K38/K7</f>
        <v/>
      </c>
      <c r="L39" s="134">
        <f>+L38/L7</f>
        <v/>
      </c>
      <c r="M39" s="134">
        <f>+M38/M7</f>
        <v/>
      </c>
      <c r="N39" s="134">
        <f>+N38/N7</f>
        <v/>
      </c>
      <c r="O39" s="122" t="n"/>
      <c r="P39" s="122" t="n"/>
      <c r="Q39" s="122" t="n"/>
      <c r="R39" s="122" t="n"/>
      <c r="S39" s="122" t="n"/>
      <c r="T39" s="122" t="n"/>
      <c r="U39" s="122" t="n"/>
      <c r="V39" s="122" t="n"/>
      <c r="W39" s="122" t="n"/>
      <c r="X39" s="122" t="n"/>
      <c r="Y39" s="122" t="n"/>
      <c r="Z39" s="122" t="n"/>
    </row>
    <row r="40">
      <c r="A40" s="122" t="n"/>
      <c r="B40" s="122" t="n"/>
      <c r="C40" s="122" t="n"/>
      <c r="D40" s="122" t="n"/>
      <c r="E40" s="122" t="n"/>
      <c r="F40" s="122" t="n"/>
      <c r="G40" s="122" t="n"/>
      <c r="H40" s="122" t="n"/>
      <c r="I40" s="127" t="n"/>
      <c r="J40" s="122" t="n"/>
      <c r="K40" s="122" t="n"/>
      <c r="L40" s="122" t="n"/>
      <c r="M40" s="122" t="n"/>
      <c r="N40" s="122" t="n"/>
      <c r="O40" s="122" t="n"/>
      <c r="P40" s="122" t="n"/>
      <c r="Q40" s="122" t="n"/>
      <c r="R40" s="122" t="n"/>
      <c r="S40" s="122" t="n"/>
      <c r="T40" s="122" t="n"/>
      <c r="U40" s="122" t="n"/>
      <c r="V40" s="122" t="n"/>
      <c r="W40" s="122" t="n"/>
      <c r="X40" s="122" t="n"/>
      <c r="Y40" s="122" t="n"/>
      <c r="Z40" s="122" t="n"/>
    </row>
    <row r="41">
      <c r="A41" s="122" t="n"/>
      <c r="B41" s="122" t="inlineStr">
        <is>
          <t>(-) Taxes on EBIT</t>
        </is>
      </c>
      <c r="C41" s="122" t="n"/>
      <c r="D41" s="274" t="n">
        <v>14527</v>
      </c>
      <c r="E41" s="274" t="n">
        <v>19300</v>
      </c>
      <c r="F41" s="274" t="n">
        <v>16741</v>
      </c>
      <c r="G41" s="274" t="n">
        <v>29749</v>
      </c>
      <c r="H41" s="274" t="n">
        <v>20719</v>
      </c>
      <c r="I41" s="275" t="n"/>
      <c r="J41" s="179">
        <f>+J38*J42</f>
        <v/>
      </c>
      <c r="K41" s="179">
        <f>+K38*K42</f>
        <v/>
      </c>
      <c r="L41" s="179">
        <f>+L38*L42</f>
        <v/>
      </c>
      <c r="M41" s="179">
        <f>+M38*M42</f>
        <v/>
      </c>
      <c r="N41" s="179">
        <f>+N38*N42</f>
        <v/>
      </c>
      <c r="O41" s="122" t="n"/>
      <c r="P41" s="122" t="n"/>
      <c r="Q41" s="122" t="n"/>
      <c r="R41" s="122" t="n"/>
      <c r="S41" s="122" t="n"/>
      <c r="T41" s="122" t="n"/>
      <c r="U41" s="122" t="n"/>
      <c r="V41" s="122" t="n"/>
      <c r="W41" s="122" t="n"/>
      <c r="X41" s="122" t="n"/>
      <c r="Y41" s="122" t="n"/>
      <c r="Z41" s="122" t="n"/>
    </row>
    <row r="42">
      <c r="A42" s="122" t="n"/>
      <c r="B42" s="133" t="inlineStr">
        <is>
          <t xml:space="preserve">  Effective Tax Rate</t>
        </is>
      </c>
      <c r="C42" s="122" t="n"/>
      <c r="D42" s="134" t="n">
        <v>0.1333376166830352</v>
      </c>
      <c r="E42" s="134" t="n">
        <v>0.1615914666309435</v>
      </c>
      <c r="F42" s="134" t="n">
        <v>0.146464160418544</v>
      </c>
      <c r="G42" s="134" t="n">
        <v>0.2414378002856772</v>
      </c>
      <c r="H42" s="134" t="n">
        <v>0.1557234122510334</v>
      </c>
      <c r="I42" s="135" t="n"/>
      <c r="J42" s="136" t="n">
        <v>0.16</v>
      </c>
      <c r="K42" s="136" t="n">
        <v>0.16</v>
      </c>
      <c r="L42" s="136" t="n">
        <v>0.16</v>
      </c>
      <c r="M42" s="136" t="n">
        <v>0.16</v>
      </c>
      <c r="N42" s="136" t="n">
        <v>0.16</v>
      </c>
      <c r="O42" s="122" t="n"/>
      <c r="P42" s="122" t="n"/>
      <c r="Q42" s="122" t="n"/>
      <c r="R42" s="122" t="n"/>
      <c r="S42" s="122" t="n"/>
      <c r="T42" s="122" t="n"/>
      <c r="U42" s="122" t="n"/>
      <c r="V42" s="122" t="n"/>
      <c r="W42" s="122" t="n"/>
      <c r="X42" s="122" t="n"/>
      <c r="Y42" s="122" t="n"/>
      <c r="Z42" s="122" t="n"/>
    </row>
    <row r="43">
      <c r="A43" s="122" t="n"/>
      <c r="B43" s="122" t="n"/>
      <c r="C43" s="122" t="n"/>
      <c r="D43" s="122" t="n"/>
      <c r="E43" s="122" t="n"/>
      <c r="F43" s="122" t="n"/>
      <c r="G43" s="122" t="n"/>
      <c r="H43" s="122" t="n"/>
      <c r="I43" s="127" t="n"/>
      <c r="J43" s="122" t="n"/>
      <c r="K43" s="122" t="n"/>
      <c r="L43" s="122" t="n"/>
      <c r="M43" s="122" t="n"/>
      <c r="N43" s="122" t="n"/>
      <c r="O43" s="122" t="n"/>
      <c r="P43" s="122" t="n"/>
      <c r="Q43" s="122" t="n"/>
      <c r="R43" s="122" t="n"/>
      <c r="S43" s="122" t="n"/>
      <c r="T43" s="122" t="n"/>
      <c r="U43" s="122" t="n"/>
      <c r="V43" s="122" t="n"/>
      <c r="W43" s="122" t="n"/>
      <c r="X43" s="122" t="n"/>
      <c r="Y43" s="122" t="n"/>
      <c r="Z43" s="122" t="n"/>
    </row>
    <row r="44">
      <c r="A44" s="122" t="n"/>
      <c r="B44" s="130" t="inlineStr">
        <is>
          <t>EBIAT (NOPAT)</t>
        </is>
      </c>
      <c r="C44" s="122" t="n"/>
      <c r="D44" s="279" t="n">
        <v>94422</v>
      </c>
      <c r="E44" s="279" t="n">
        <v>100137</v>
      </c>
      <c r="F44" s="279" t="n">
        <v>97560</v>
      </c>
      <c r="G44" s="279" t="n">
        <v>93467</v>
      </c>
      <c r="H44" s="279" t="n">
        <v>112331</v>
      </c>
      <c r="I44" s="280" t="n"/>
      <c r="J44" s="279">
        <f>+J38-J41</f>
        <v/>
      </c>
      <c r="K44" s="279">
        <f>+K38-K41</f>
        <v/>
      </c>
      <c r="L44" s="279">
        <f>+L38-L41</f>
        <v/>
      </c>
      <c r="M44" s="279">
        <f>+M38-M41</f>
        <v/>
      </c>
      <c r="N44" s="279">
        <f>+N38-N41</f>
        <v/>
      </c>
      <c r="O44" s="122" t="n"/>
      <c r="P44" s="122" t="n"/>
      <c r="Q44" s="122" t="n"/>
      <c r="R44" s="122" t="n"/>
      <c r="S44" s="122" t="n"/>
      <c r="T44" s="122" t="n"/>
      <c r="U44" s="122" t="n"/>
      <c r="V44" s="122" t="n"/>
      <c r="W44" s="122" t="n"/>
      <c r="X44" s="122" t="n"/>
      <c r="Y44" s="122" t="n"/>
      <c r="Z44" s="122" t="n"/>
    </row>
    <row r="45">
      <c r="A45" s="122" t="n"/>
      <c r="B45" s="122" t="n"/>
      <c r="C45" s="122" t="n"/>
      <c r="D45" s="122" t="n"/>
      <c r="E45" s="122" t="n"/>
      <c r="F45" s="122" t="n"/>
      <c r="G45" s="122" t="n"/>
      <c r="H45" s="122" t="n"/>
      <c r="I45" s="127" t="n"/>
      <c r="J45" s="122" t="n"/>
      <c r="K45" s="122" t="n"/>
      <c r="L45" s="122" t="n"/>
      <c r="M45" s="122" t="n"/>
      <c r="N45" s="122" t="n"/>
      <c r="O45" s="122" t="n"/>
      <c r="P45" s="122" t="n"/>
      <c r="Q45" s="122" t="n"/>
      <c r="R45" s="122" t="n"/>
      <c r="S45" s="122" t="n"/>
      <c r="T45" s="122" t="n"/>
      <c r="U45" s="122" t="n"/>
      <c r="V45" s="122" t="n"/>
      <c r="W45" s="122" t="n"/>
      <c r="X45" s="122" t="n"/>
      <c r="Y45" s="122" t="n"/>
      <c r="Z45" s="122" t="n"/>
    </row>
    <row r="46">
      <c r="A46" s="122" t="n"/>
      <c r="B46" s="122" t="inlineStr">
        <is>
          <t>(+) D&amp;A</t>
        </is>
      </c>
      <c r="C46" s="122" t="n"/>
      <c r="D46" s="278" t="n">
        <v>11284</v>
      </c>
      <c r="E46" s="278" t="n">
        <v>11104</v>
      </c>
      <c r="F46" s="278" t="n">
        <v>11519</v>
      </c>
      <c r="G46" s="278" t="n">
        <v>11445</v>
      </c>
      <c r="H46" s="278" t="n">
        <v>11698</v>
      </c>
      <c r="I46" s="275" t="n"/>
      <c r="J46" s="278">
        <f>+J24</f>
        <v/>
      </c>
      <c r="K46" s="278">
        <f>+K24</f>
        <v/>
      </c>
      <c r="L46" s="278">
        <f>+L24</f>
        <v/>
      </c>
      <c r="M46" s="278">
        <f>+M24</f>
        <v/>
      </c>
      <c r="N46" s="278">
        <f>+N24</f>
        <v/>
      </c>
      <c r="O46" s="122" t="n"/>
      <c r="P46" s="122" t="n"/>
      <c r="Q46" s="122" t="n"/>
      <c r="R46" s="122" t="n"/>
      <c r="S46" s="122" t="n"/>
      <c r="T46" s="122" t="n"/>
      <c r="U46" s="122" t="n"/>
      <c r="V46" s="122" t="n"/>
      <c r="W46" s="122" t="n"/>
      <c r="X46" s="122" t="n"/>
      <c r="Y46" s="122" t="n"/>
      <c r="Z46" s="122" t="n"/>
    </row>
    <row r="47">
      <c r="A47" s="122" t="n"/>
      <c r="B47" s="122" t="inlineStr">
        <is>
          <t>(-) Capital Expenditures</t>
        </is>
      </c>
      <c r="C47" s="122" t="n"/>
      <c r="D47" s="278" t="n">
        <v>-11085</v>
      </c>
      <c r="E47" s="278" t="n">
        <v>-10708</v>
      </c>
      <c r="F47" s="278" t="n">
        <v>-10959</v>
      </c>
      <c r="G47" s="278" t="n">
        <v>-9447</v>
      </c>
      <c r="H47" s="278" t="n">
        <v>-12715</v>
      </c>
      <c r="I47" s="275" t="n"/>
      <c r="J47" s="278">
        <f>+J30</f>
        <v/>
      </c>
      <c r="K47" s="278">
        <f>+K30</f>
        <v/>
      </c>
      <c r="L47" s="278">
        <f>+L30</f>
        <v/>
      </c>
      <c r="M47" s="278">
        <f>+M30</f>
        <v/>
      </c>
      <c r="N47" s="278">
        <f>+N30</f>
        <v/>
      </c>
      <c r="O47" s="122" t="n"/>
      <c r="P47" s="122" t="n"/>
      <c r="Q47" s="122" t="n"/>
      <c r="R47" s="122" t="n"/>
      <c r="S47" s="122" t="n"/>
      <c r="T47" s="122" t="n"/>
      <c r="U47" s="122" t="n"/>
      <c r="V47" s="122" t="n"/>
      <c r="W47" s="122" t="n"/>
      <c r="X47" s="122" t="n"/>
      <c r="Y47" s="122" t="n"/>
      <c r="Z47" s="122" t="n"/>
    </row>
    <row r="48">
      <c r="A48" s="122" t="n"/>
      <c r="B48" s="122" t="inlineStr">
        <is>
          <t>(-) Change in NWC</t>
        </is>
      </c>
      <c r="C48" s="122" t="n"/>
      <c r="D48" s="278" t="n">
        <v>210</v>
      </c>
      <c r="E48" s="278" t="n">
        <v>-9080</v>
      </c>
      <c r="F48" s="278" t="n">
        <v>4213</v>
      </c>
      <c r="G48" s="278" t="n">
        <v>-1492</v>
      </c>
      <c r="H48" s="278" t="n">
        <v>3899</v>
      </c>
      <c r="I48" s="275" t="n"/>
      <c r="J48" s="278">
        <f>+J33</f>
        <v/>
      </c>
      <c r="K48" s="278">
        <f>+K33</f>
        <v/>
      </c>
      <c r="L48" s="278">
        <f>+L33</f>
        <v/>
      </c>
      <c r="M48" s="278">
        <f>+M33</f>
        <v/>
      </c>
      <c r="N48" s="278">
        <f>+N33</f>
        <v/>
      </c>
      <c r="O48" s="122" t="n"/>
      <c r="P48" s="122" t="n"/>
      <c r="Q48" s="122" t="n"/>
      <c r="R48" s="122" t="n"/>
      <c r="S48" s="122" t="n"/>
      <c r="T48" s="122" t="n"/>
      <c r="U48" s="122" t="n"/>
      <c r="V48" s="122" t="n"/>
      <c r="W48" s="122" t="n"/>
      <c r="X48" s="122" t="n"/>
      <c r="Y48" s="122" t="n"/>
      <c r="Z48" s="122" t="n"/>
    </row>
    <row r="49">
      <c r="A49" s="122" t="n"/>
      <c r="B49" s="122" t="n"/>
      <c r="C49" s="122" t="n"/>
      <c r="D49" s="122" t="n"/>
      <c r="E49" s="122" t="n"/>
      <c r="F49" s="122" t="n"/>
      <c r="G49" s="122" t="n"/>
      <c r="H49" s="122" t="n"/>
      <c r="I49" s="127" t="n"/>
      <c r="J49" s="122" t="n"/>
      <c r="K49" s="122" t="n"/>
      <c r="L49" s="122" t="n"/>
      <c r="M49" s="122" t="n"/>
      <c r="N49" s="122" t="n"/>
      <c r="O49" s="122" t="n"/>
      <c r="P49" s="122" t="n"/>
      <c r="Q49" s="122" t="n"/>
      <c r="R49" s="122" t="n"/>
      <c r="S49" s="122" t="n"/>
      <c r="T49" s="122" t="n"/>
      <c r="U49" s="122" t="n"/>
      <c r="V49" s="122" t="n"/>
      <c r="W49" s="122" t="n"/>
      <c r="X49" s="122" t="n"/>
      <c r="Y49" s="122" t="n"/>
      <c r="Z49" s="122" t="n"/>
    </row>
    <row r="50" ht="17.25" customHeight="1" thickBot="1">
      <c r="A50" s="122" t="n"/>
      <c r="B50" s="130" t="inlineStr">
        <is>
          <t>Unlevered Free Cash Flow</t>
        </is>
      </c>
      <c r="C50" s="122" t="n"/>
      <c r="D50" s="281" t="n">
        <v>94411</v>
      </c>
      <c r="E50" s="281" t="n">
        <v>109613</v>
      </c>
      <c r="F50" s="281" t="n">
        <v>93907</v>
      </c>
      <c r="G50" s="281" t="n">
        <v>96957</v>
      </c>
      <c r="H50" s="281" t="n">
        <v>107415</v>
      </c>
      <c r="I50" s="282" t="n"/>
      <c r="J50" s="281">
        <f>J44+J46+J47-J48</f>
        <v/>
      </c>
      <c r="K50" s="281">
        <f>K44+K46+K47-K48</f>
        <v/>
      </c>
      <c r="L50" s="281">
        <f>L44+L46+L47-L48</f>
        <v/>
      </c>
      <c r="M50" s="281">
        <f>M44+M46+M47-M48</f>
        <v/>
      </c>
      <c r="N50" s="281">
        <f>N44+N46+N47-N48</f>
        <v/>
      </c>
      <c r="O50" s="122" t="n"/>
      <c r="P50" s="122" t="n"/>
      <c r="Q50" s="122" t="n"/>
      <c r="R50" s="122" t="n"/>
      <c r="S50" s="122" t="n"/>
      <c r="T50" s="122" t="n"/>
      <c r="U50" s="122" t="n"/>
      <c r="V50" s="122" t="n"/>
      <c r="W50" s="122" t="n"/>
      <c r="X50" s="122" t="n"/>
      <c r="Y50" s="122" t="n"/>
      <c r="Z50" s="122" t="n"/>
    </row>
    <row r="51" ht="17.25" customHeight="1" thickTop="1">
      <c r="A51" s="122" t="n"/>
      <c r="B51" s="122" t="n"/>
      <c r="C51" s="122" t="n"/>
      <c r="D51" s="122" t="n"/>
      <c r="E51" s="122" t="n"/>
      <c r="F51" s="122" t="n"/>
      <c r="G51" s="122" t="n"/>
      <c r="H51" s="122" t="n"/>
      <c r="I51" s="127" t="n"/>
      <c r="J51" s="122" t="n"/>
      <c r="K51" s="122" t="n"/>
      <c r="L51" s="122" t="n"/>
      <c r="M51" s="122" t="n"/>
      <c r="N51" s="122" t="n"/>
      <c r="O51" s="122" t="n"/>
      <c r="P51" s="122" t="n"/>
      <c r="Q51" s="122" t="n"/>
      <c r="R51" s="122" t="n"/>
      <c r="S51" s="122" t="n"/>
      <c r="T51" s="122" t="n"/>
      <c r="U51" s="122" t="n"/>
      <c r="V51" s="122" t="n"/>
      <c r="W51" s="122" t="n"/>
      <c r="X51" s="122" t="n"/>
      <c r="Y51" s="122" t="n"/>
      <c r="Z51" s="122" t="n"/>
    </row>
    <row r="52">
      <c r="A52" s="122" t="n"/>
      <c r="B52" s="133" t="inlineStr">
        <is>
          <t>Discount Period (Mid-Year)</t>
        </is>
      </c>
      <c r="C52" s="122" t="n"/>
      <c r="D52" s="122" t="n"/>
      <c r="E52" s="122" t="n"/>
      <c r="F52" s="122" t="n"/>
      <c r="G52" s="122" t="n"/>
      <c r="H52" s="122" t="n"/>
      <c r="I52" s="127" t="n"/>
      <c r="J52" s="283" t="n">
        <v>0.5</v>
      </c>
      <c r="K52" s="283" t="n">
        <v>1.5</v>
      </c>
      <c r="L52" s="283" t="n">
        <v>2.5</v>
      </c>
      <c r="M52" s="283" t="n">
        <v>3.5</v>
      </c>
      <c r="N52" s="283" t="n">
        <v>4.5</v>
      </c>
      <c r="O52" s="122" t="n"/>
      <c r="P52" s="122" t="n"/>
      <c r="Q52" s="122" t="n"/>
      <c r="R52" s="122" t="n"/>
      <c r="S52" s="122" t="n"/>
      <c r="T52" s="122" t="n"/>
      <c r="U52" s="122" t="n"/>
      <c r="V52" s="122" t="n"/>
      <c r="W52" s="122" t="n"/>
      <c r="X52" s="122" t="n"/>
      <c r="Y52" s="122" t="n"/>
      <c r="Z52" s="122" t="n"/>
    </row>
    <row r="53">
      <c r="A53" s="122" t="n"/>
      <c r="B53" s="130" t="inlineStr">
        <is>
          <t>Present Value of FCFF</t>
        </is>
      </c>
      <c r="C53" s="122" t="n"/>
      <c r="D53" s="180">
        <f>IFERROR(D50/(1+WACC!$G$22)^D52,"")</f>
        <v/>
      </c>
      <c r="E53" s="180">
        <f>IFERROR(E50/(1+WACC!$G$22)^E52,"")</f>
        <v/>
      </c>
      <c r="F53" s="180">
        <f>IFERROR(F50/(1+WACC!$G$22)^F52,"")</f>
        <v/>
      </c>
      <c r="G53" s="180">
        <f>IFERROR(G50/(1+WACC!$G$22)^G52,"")</f>
        <v/>
      </c>
      <c r="H53" s="180">
        <f>IFERROR(H50/(1+WACC!$G$22)^H52,"")</f>
        <v/>
      </c>
      <c r="I53" s="127" t="n"/>
      <c r="J53" s="180">
        <f>IFERROR(J50/(1+$D$57)^J52,"")</f>
        <v/>
      </c>
      <c r="K53" s="180">
        <f>IFERROR(K50/(1+$D$57)^K52,"")</f>
        <v/>
      </c>
      <c r="L53" s="180">
        <f>IFERROR(L50/(1+$D$57)^L52,"")</f>
        <v/>
      </c>
      <c r="M53" s="180">
        <f>IFERROR(M50/(1+$D$57)^M52,"")</f>
        <v/>
      </c>
      <c r="N53" s="180">
        <f>IFERROR(N50/(1+$D$57)^N52,"")</f>
        <v/>
      </c>
      <c r="O53" s="122" t="n"/>
      <c r="P53" s="122" t="n"/>
      <c r="Q53" s="122" t="n"/>
      <c r="R53" s="122" t="n"/>
      <c r="S53" s="122" t="n"/>
      <c r="T53" s="122" t="n"/>
      <c r="U53" s="122" t="n"/>
      <c r="V53" s="122" t="n"/>
      <c r="W53" s="122" t="n"/>
      <c r="X53" s="122" t="n"/>
      <c r="Y53" s="122" t="n"/>
      <c r="Z53" s="122" t="n"/>
    </row>
    <row r="54">
      <c r="A54" s="122" t="n"/>
      <c r="B54" s="122" t="n"/>
      <c r="C54" s="122" t="n"/>
      <c r="D54" s="122" t="n"/>
      <c r="E54" s="122" t="n"/>
      <c r="F54" s="122" t="n"/>
      <c r="G54" s="122" t="n"/>
      <c r="H54" s="122" t="n"/>
      <c r="I54" s="122" t="n"/>
      <c r="J54" s="122" t="n"/>
      <c r="K54" s="122" t="n"/>
      <c r="L54" s="122" t="n"/>
      <c r="M54" s="122" t="n"/>
      <c r="N54" s="122" t="n"/>
      <c r="O54" s="122" t="n"/>
      <c r="P54" s="122" t="n"/>
      <c r="Q54" s="122" t="n"/>
      <c r="R54" s="122" t="n"/>
      <c r="S54" s="122" t="n"/>
      <c r="T54" s="122" t="n"/>
      <c r="U54" s="122" t="n"/>
      <c r="V54" s="122" t="n"/>
      <c r="W54" s="122" t="n"/>
      <c r="X54" s="122" t="n"/>
      <c r="Y54" s="122" t="n"/>
      <c r="Z54" s="122" t="n"/>
    </row>
    <row r="55">
      <c r="A55" s="122" t="n"/>
      <c r="B55" s="238" t="inlineStr">
        <is>
          <t>Terminal Value</t>
        </is>
      </c>
      <c r="O55" s="122" t="n"/>
      <c r="P55" s="122" t="n"/>
      <c r="Q55" s="122" t="n"/>
      <c r="R55" s="122" t="n"/>
      <c r="S55" s="122" t="n"/>
      <c r="T55" s="122" t="n"/>
      <c r="U55" s="122" t="n"/>
      <c r="V55" s="122" t="n"/>
      <c r="W55" s="122" t="n"/>
      <c r="X55" s="122" t="n"/>
      <c r="Y55" s="122" t="n"/>
      <c r="Z55" s="122" t="n"/>
    </row>
    <row r="56">
      <c r="A56" s="122" t="n"/>
      <c r="B56" s="122" t="n"/>
      <c r="C56" s="122" t="n"/>
      <c r="D56" s="122" t="n"/>
      <c r="E56" s="122" t="n"/>
      <c r="F56" s="122" t="n"/>
      <c r="G56" s="122" t="n"/>
      <c r="H56" s="122" t="n"/>
      <c r="I56" s="122" t="n"/>
      <c r="J56" s="122" t="n"/>
      <c r="K56" s="122" t="n"/>
      <c r="L56" s="122" t="n"/>
      <c r="M56" s="122" t="n"/>
      <c r="N56" s="122" t="n"/>
      <c r="O56" s="122" t="n"/>
      <c r="P56" s="122" t="n"/>
      <c r="Q56" s="122" t="n"/>
      <c r="R56" s="122" t="n"/>
      <c r="S56" s="122" t="n"/>
      <c r="T56" s="122" t="n"/>
      <c r="U56" s="122" t="n"/>
      <c r="V56" s="122" t="n"/>
      <c r="W56" s="122" t="n"/>
      <c r="X56" s="122" t="n"/>
      <c r="Y56" s="122" t="n"/>
      <c r="Z56" s="122" t="n"/>
    </row>
    <row r="57">
      <c r="A57" s="122" t="n"/>
      <c r="B57" s="130" t="inlineStr">
        <is>
          <t>WACC</t>
        </is>
      </c>
      <c r="C57" s="122" t="n"/>
      <c r="D57" s="143">
        <f>+WACC!G22</f>
        <v/>
      </c>
      <c r="E57" s="122" t="n"/>
      <c r="F57" s="122" t="n"/>
      <c r="G57" s="122" t="n"/>
      <c r="H57" s="122" t="n"/>
      <c r="I57" s="122" t="n"/>
      <c r="J57" s="122" t="n"/>
      <c r="K57" s="122" t="n"/>
      <c r="L57" s="122" t="n"/>
      <c r="M57" s="122" t="n"/>
      <c r="N57" s="122" t="n"/>
      <c r="O57" s="122" t="n"/>
      <c r="P57" s="122" t="n"/>
      <c r="Q57" s="122" t="n"/>
      <c r="R57" s="122" t="n"/>
      <c r="S57" s="122" t="n"/>
      <c r="T57" s="122" t="n"/>
      <c r="U57" s="122" t="n"/>
      <c r="V57" s="122" t="n"/>
      <c r="W57" s="122" t="n"/>
      <c r="X57" s="122" t="n"/>
      <c r="Y57" s="122" t="n"/>
      <c r="Z57" s="122" t="n"/>
    </row>
    <row r="58">
      <c r="A58" s="122" t="n"/>
      <c r="B58" s="130" t="inlineStr">
        <is>
          <t>Terminal Growth Rate</t>
        </is>
      </c>
      <c r="C58" s="122" t="n"/>
      <c r="D58" s="136" t="n">
        <v>0.025</v>
      </c>
      <c r="E58" s="122" t="n"/>
      <c r="F58" s="122" t="n"/>
      <c r="G58" s="122" t="n"/>
      <c r="H58" s="122" t="n"/>
      <c r="I58" s="122" t="n"/>
      <c r="J58" s="122" t="n"/>
      <c r="K58" s="122" t="n"/>
      <c r="L58" s="122" t="n"/>
      <c r="M58" s="122" t="n"/>
      <c r="N58" s="122" t="n"/>
      <c r="O58" s="122" t="n"/>
      <c r="P58" s="122" t="n"/>
      <c r="Q58" s="122" t="n"/>
      <c r="R58" s="122" t="n"/>
      <c r="S58" s="122" t="n"/>
      <c r="T58" s="122" t="n"/>
      <c r="U58" s="122" t="n"/>
      <c r="V58" s="122" t="n"/>
      <c r="W58" s="122" t="n"/>
      <c r="X58" s="122" t="n"/>
      <c r="Y58" s="122" t="n"/>
      <c r="Z58" s="122" t="n"/>
    </row>
    <row r="59">
      <c r="A59" s="122" t="n"/>
      <c r="B59" s="130" t="inlineStr">
        <is>
          <t>Exit EV/EBITDA Multiple</t>
        </is>
      </c>
      <c r="C59" s="122" t="n"/>
      <c r="D59" s="316" t="n">
        <v>22</v>
      </c>
      <c r="E59" s="122" t="n"/>
      <c r="F59" s="122" t="n"/>
      <c r="G59" s="122" t="n"/>
      <c r="H59" s="122" t="n"/>
      <c r="I59" s="122" t="n"/>
      <c r="J59" s="122" t="n"/>
      <c r="K59" s="122" t="n"/>
      <c r="L59" s="122" t="n"/>
      <c r="M59" s="122" t="n"/>
      <c r="N59" s="122" t="n"/>
      <c r="O59" s="122" t="n"/>
      <c r="P59" s="122" t="n"/>
      <c r="Q59" s="122" t="n"/>
      <c r="R59" s="122" t="n"/>
      <c r="S59" s="122" t="n"/>
      <c r="T59" s="122" t="n"/>
      <c r="U59" s="122" t="n"/>
      <c r="V59" s="122" t="n"/>
      <c r="W59" s="122" t="n"/>
      <c r="X59" s="122" t="n"/>
      <c r="Y59" s="122" t="n"/>
      <c r="Z59" s="122" t="n"/>
    </row>
    <row r="60">
      <c r="A60" s="122" t="n"/>
      <c r="B60" s="122" t="n"/>
      <c r="C60" s="122" t="n"/>
      <c r="D60" s="122" t="n"/>
      <c r="E60" s="122" t="n"/>
      <c r="F60" s="122" t="n"/>
      <c r="G60" s="122" t="n"/>
      <c r="H60" s="122" t="n"/>
      <c r="I60" s="122" t="n"/>
      <c r="J60" s="122" t="n"/>
      <c r="K60" s="122" t="n"/>
      <c r="L60" s="122" t="n"/>
      <c r="M60" s="122" t="n"/>
      <c r="N60" s="122" t="n"/>
      <c r="O60" s="122" t="n"/>
      <c r="P60" s="122" t="n"/>
      <c r="Q60" s="122" t="n"/>
      <c r="R60" s="122" t="n"/>
      <c r="S60" s="122" t="n"/>
      <c r="T60" s="122" t="n"/>
      <c r="U60" s="122" t="n"/>
      <c r="V60" s="122" t="n"/>
      <c r="W60" s="122" t="n"/>
      <c r="X60" s="122" t="n"/>
      <c r="Y60" s="122" t="n"/>
      <c r="Z60" s="122" t="n"/>
    </row>
    <row r="61">
      <c r="A61" s="122" t="n"/>
      <c r="B61" s="130" t="inlineStr">
        <is>
          <t>Gordon Growth Terminal Value</t>
        </is>
      </c>
      <c r="C61" s="122" t="n"/>
      <c r="D61" s="181">
        <f>IFERROR($N$50*(1+$D$58)/($D$57-$D$58),"")</f>
        <v/>
      </c>
      <c r="E61" s="122" t="n"/>
      <c r="F61" s="122" t="n"/>
      <c r="G61" s="122" t="n"/>
      <c r="H61" s="122" t="n"/>
      <c r="I61" s="122" t="n"/>
      <c r="J61" s="122" t="n"/>
      <c r="K61" s="122" t="n"/>
      <c r="L61" s="122" t="n"/>
      <c r="M61" s="122" t="n"/>
      <c r="N61" s="122" t="n"/>
      <c r="O61" s="122" t="n"/>
      <c r="P61" s="122" t="n"/>
      <c r="Q61" s="122" t="n"/>
      <c r="R61" s="122" t="n"/>
      <c r="S61" s="122" t="n"/>
      <c r="T61" s="122" t="n"/>
      <c r="U61" s="122" t="n"/>
      <c r="V61" s="122" t="n"/>
      <c r="W61" s="122" t="n"/>
      <c r="X61" s="122" t="n"/>
      <c r="Y61" s="122" t="n"/>
      <c r="Z61" s="122" t="n"/>
    </row>
    <row r="62">
      <c r="A62" s="122" t="n"/>
      <c r="B62" s="130" t="inlineStr">
        <is>
          <t>Exit Multiple Terminal Value</t>
        </is>
      </c>
      <c r="C62" s="122" t="n"/>
      <c r="D62" s="181">
        <f>IFERROR(($N$19+$N$24)*$D$59,"")</f>
        <v/>
      </c>
      <c r="E62" s="122" t="n"/>
      <c r="F62" s="122" t="n"/>
      <c r="G62" s="122" t="n"/>
      <c r="H62" s="122" t="n"/>
      <c r="I62" s="122" t="n"/>
      <c r="J62" s="122" t="n"/>
      <c r="K62" s="122" t="n"/>
      <c r="L62" s="122" t="n"/>
      <c r="M62" s="122" t="n"/>
      <c r="N62" s="122" t="n"/>
      <c r="O62" s="122" t="n"/>
      <c r="P62" s="122" t="n"/>
      <c r="Q62" s="122" t="n"/>
      <c r="R62" s="122" t="n"/>
      <c r="S62" s="122" t="n"/>
      <c r="T62" s="122" t="n"/>
      <c r="U62" s="122" t="n"/>
      <c r="V62" s="122" t="n"/>
      <c r="W62" s="122" t="n"/>
      <c r="X62" s="122" t="n"/>
      <c r="Y62" s="122" t="n"/>
      <c r="Z62" s="122" t="n"/>
    </row>
    <row r="63">
      <c r="A63" s="122" t="n"/>
      <c r="B63" s="130" t="inlineStr">
        <is>
          <t>Selected Terminal Value</t>
        </is>
      </c>
      <c r="C63" s="122" t="n"/>
      <c r="D63" s="285">
        <f>IF($D$64=1,$D$61,$D$62)</f>
        <v/>
      </c>
      <c r="E63" s="122" t="n"/>
      <c r="F63" s="122" t="n"/>
      <c r="G63" s="122" t="n"/>
      <c r="H63" s="122" t="n"/>
      <c r="I63" s="122" t="n"/>
      <c r="J63" s="122" t="n"/>
      <c r="K63" s="122" t="n"/>
      <c r="L63" s="122" t="n"/>
      <c r="M63" s="122" t="n"/>
      <c r="N63" s="122" t="n"/>
      <c r="O63" s="122" t="n"/>
      <c r="P63" s="122" t="n"/>
      <c r="Q63" s="122" t="n"/>
      <c r="R63" s="122" t="n"/>
      <c r="S63" s="122" t="n"/>
      <c r="T63" s="122" t="n"/>
      <c r="U63" s="122" t="n"/>
      <c r="V63" s="122" t="n"/>
      <c r="W63" s="122" t="n"/>
      <c r="X63" s="122" t="n"/>
      <c r="Y63" s="122" t="n"/>
      <c r="Z63" s="122" t="n"/>
    </row>
    <row r="64">
      <c r="A64" s="122" t="n"/>
      <c r="B64" s="133" t="inlineStr">
        <is>
          <t xml:space="preserve">  TV Method (1=GGM, 2=Exit)</t>
        </is>
      </c>
      <c r="C64" s="122" t="n"/>
      <c r="D64" s="146" t="n">
        <v>2</v>
      </c>
      <c r="E64" s="122" t="n"/>
      <c r="F64" s="122" t="n"/>
      <c r="G64" s="122" t="n"/>
      <c r="H64" s="122" t="n"/>
      <c r="I64" s="122" t="n"/>
      <c r="J64" s="122" t="n"/>
      <c r="K64" s="122" t="n"/>
      <c r="L64" s="122" t="n"/>
      <c r="M64" s="122" t="n"/>
      <c r="N64" s="122" t="n"/>
      <c r="O64" s="122" t="n"/>
      <c r="P64" s="122" t="n"/>
      <c r="Q64" s="122" t="n"/>
      <c r="R64" s="122" t="n"/>
      <c r="S64" s="122" t="n"/>
      <c r="T64" s="122" t="n"/>
      <c r="U64" s="122" t="n"/>
      <c r="V64" s="122" t="n"/>
      <c r="W64" s="122" t="n"/>
      <c r="X64" s="122" t="n"/>
      <c r="Y64" s="122" t="n"/>
      <c r="Z64" s="122" t="n"/>
    </row>
    <row r="65">
      <c r="A65" s="122" t="n"/>
      <c r="B65" s="122" t="n"/>
      <c r="C65" s="122" t="n"/>
      <c r="D65" s="122" t="n"/>
      <c r="E65" s="122" t="n"/>
      <c r="F65" s="122" t="n"/>
      <c r="G65" s="122" t="n"/>
      <c r="H65" s="122" t="n"/>
      <c r="I65" s="122" t="n"/>
      <c r="J65" s="122" t="n"/>
      <c r="K65" s="122" t="n"/>
      <c r="L65" s="122" t="n"/>
      <c r="M65" s="122" t="n"/>
      <c r="N65" s="122" t="n"/>
      <c r="O65" s="122" t="n"/>
      <c r="P65" s="122" t="n"/>
      <c r="Q65" s="122" t="n"/>
      <c r="R65" s="122" t="n"/>
      <c r="S65" s="122" t="n"/>
      <c r="T65" s="122" t="n"/>
      <c r="U65" s="122" t="n"/>
      <c r="V65" s="122" t="n"/>
      <c r="W65" s="122" t="n"/>
      <c r="X65" s="122" t="n"/>
      <c r="Y65" s="122" t="n"/>
      <c r="Z65" s="122" t="n"/>
    </row>
    <row r="66">
      <c r="A66" s="122" t="n"/>
      <c r="B66" s="130" t="inlineStr">
        <is>
          <t>PV of Terminal Value</t>
        </is>
      </c>
      <c r="C66" s="122" t="n"/>
      <c r="D66" s="181">
        <f>IFERROR($D$63/(1+$D$57)^$N$52,"")</f>
        <v/>
      </c>
      <c r="E66" s="122" t="n"/>
      <c r="F66" s="122" t="n"/>
      <c r="G66" s="122" t="n"/>
      <c r="H66" s="122" t="n"/>
      <c r="I66" s="122" t="n"/>
      <c r="J66" s="122" t="n"/>
      <c r="K66" s="122" t="n"/>
      <c r="L66" s="122" t="n"/>
      <c r="M66" s="122" t="n"/>
      <c r="N66" s="122" t="n"/>
      <c r="O66" s="122" t="n"/>
      <c r="P66" s="122" t="n"/>
      <c r="Q66" s="122" t="n"/>
      <c r="R66" s="122" t="n"/>
      <c r="S66" s="122" t="n"/>
      <c r="T66" s="122" t="n"/>
      <c r="U66" s="122" t="n"/>
      <c r="V66" s="122" t="n"/>
      <c r="W66" s="122" t="n"/>
      <c r="X66" s="122" t="n"/>
      <c r="Y66" s="122" t="n"/>
      <c r="Z66" s="122" t="n"/>
    </row>
    <row r="67">
      <c r="A67" s="122" t="n"/>
      <c r="B67" s="122" t="n"/>
      <c r="C67" s="122" t="n"/>
      <c r="D67" s="122" t="n"/>
      <c r="E67" s="122" t="n"/>
      <c r="F67" s="122" t="n"/>
      <c r="G67" s="122" t="n"/>
      <c r="H67" s="122" t="n"/>
      <c r="I67" s="122" t="n"/>
      <c r="J67" s="122" t="n"/>
      <c r="K67" s="122" t="n"/>
      <c r="L67" s="122" t="n"/>
      <c r="M67" s="122" t="n"/>
      <c r="N67" s="122" t="n"/>
      <c r="O67" s="122" t="n"/>
      <c r="P67" s="122" t="n"/>
      <c r="Q67" s="122" t="n"/>
      <c r="R67" s="122" t="n"/>
      <c r="S67" s="122" t="n"/>
      <c r="T67" s="122" t="n"/>
      <c r="U67" s="122" t="n"/>
      <c r="V67" s="122" t="n"/>
      <c r="W67" s="122" t="n"/>
      <c r="X67" s="122" t="n"/>
      <c r="Y67" s="122" t="n"/>
      <c r="Z67" s="122" t="n"/>
    </row>
    <row r="68">
      <c r="A68" s="122" t="n"/>
      <c r="B68" s="238" t="inlineStr">
        <is>
          <t>Enterprise Value to Equity Value Bridge</t>
        </is>
      </c>
      <c r="O68" s="122" t="n"/>
      <c r="P68" s="122" t="n"/>
      <c r="Q68" s="122" t="n"/>
      <c r="R68" s="122" t="n"/>
      <c r="S68" s="122" t="n"/>
      <c r="T68" s="122" t="n"/>
      <c r="U68" s="122" t="n"/>
      <c r="V68" s="122" t="n"/>
      <c r="W68" s="122" t="n"/>
      <c r="X68" s="122" t="n"/>
      <c r="Y68" s="122" t="n"/>
      <c r="Z68" s="122" t="n"/>
    </row>
    <row r="69">
      <c r="A69" s="122" t="n"/>
      <c r="B69" s="122" t="n"/>
      <c r="C69" s="122" t="n"/>
      <c r="D69" s="122" t="n"/>
      <c r="E69" s="122" t="n"/>
      <c r="F69" s="122" t="n"/>
      <c r="G69" s="122" t="n"/>
      <c r="H69" s="122" t="n"/>
      <c r="I69" s="122" t="n"/>
      <c r="J69" s="122" t="n"/>
      <c r="K69" s="122" t="n"/>
      <c r="L69" s="122" t="n"/>
      <c r="M69" s="122" t="n"/>
      <c r="N69" s="122" t="n"/>
      <c r="O69" s="122" t="n"/>
      <c r="P69" s="122" t="n"/>
      <c r="Q69" s="122" t="n"/>
      <c r="R69" s="122" t="n"/>
      <c r="S69" s="122" t="n"/>
      <c r="T69" s="122" t="n"/>
      <c r="U69" s="122" t="n"/>
      <c r="V69" s="122" t="n"/>
      <c r="W69" s="122" t="n"/>
      <c r="X69" s="122" t="n"/>
      <c r="Y69" s="122" t="n"/>
      <c r="Z69" s="122" t="n"/>
    </row>
    <row r="70">
      <c r="A70" s="122" t="n"/>
      <c r="B70" s="130" t="inlineStr">
        <is>
          <t>Sum of PV of FCFs</t>
        </is>
      </c>
      <c r="C70" s="122" t="n"/>
      <c r="D70" s="274">
        <f>IFERROR(SUM($J$53:$N$53),"")</f>
        <v/>
      </c>
      <c r="E70" s="122" t="n"/>
      <c r="F70" s="122" t="n"/>
      <c r="G70" s="122" t="n"/>
      <c r="H70" s="122" t="n"/>
      <c r="I70" s="122" t="n"/>
      <c r="J70" s="122" t="n"/>
      <c r="K70" s="122" t="n"/>
      <c r="L70" s="122" t="n"/>
      <c r="M70" s="122" t="n"/>
      <c r="N70" s="122" t="n"/>
      <c r="O70" s="122" t="n"/>
      <c r="P70" s="122" t="n"/>
      <c r="Q70" s="122" t="n"/>
      <c r="R70" s="122" t="n"/>
      <c r="S70" s="122" t="n"/>
      <c r="T70" s="122" t="n"/>
      <c r="U70" s="122" t="n"/>
      <c r="V70" s="122" t="n"/>
      <c r="W70" s="122" t="n"/>
      <c r="X70" s="122" t="n"/>
      <c r="Y70" s="122" t="n"/>
      <c r="Z70" s="122" t="n"/>
    </row>
    <row r="71">
      <c r="A71" s="122" t="n"/>
      <c r="B71" s="130" t="inlineStr">
        <is>
          <t>(+) PV of Terminal Value</t>
        </is>
      </c>
      <c r="C71" s="122" t="n"/>
      <c r="D71" s="278">
        <f>$D$66</f>
        <v/>
      </c>
      <c r="E71" s="122" t="n"/>
      <c r="F71" s="122" t="n"/>
      <c r="G71" s="122" t="n"/>
      <c r="H71" s="122" t="n"/>
      <c r="I71" s="122" t="n"/>
      <c r="J71" s="122" t="n"/>
      <c r="K71" s="122" t="n"/>
      <c r="L71" s="122" t="n"/>
      <c r="M71" s="122" t="n"/>
      <c r="N71" s="122" t="n"/>
      <c r="O71" s="122" t="n"/>
      <c r="P71" s="122" t="n"/>
      <c r="Q71" s="122" t="n"/>
      <c r="R71" s="122" t="n"/>
      <c r="S71" s="122" t="n"/>
      <c r="T71" s="122" t="n"/>
      <c r="U71" s="122" t="n"/>
      <c r="V71" s="122" t="n"/>
      <c r="W71" s="122" t="n"/>
      <c r="X71" s="122" t="n"/>
      <c r="Y71" s="122" t="n"/>
      <c r="Z71" s="122" t="n"/>
    </row>
    <row r="72">
      <c r="A72" s="122" t="n"/>
      <c r="B72" s="122" t="n"/>
      <c r="C72" s="122" t="n"/>
      <c r="D72" s="122" t="n"/>
      <c r="E72" s="122" t="n"/>
      <c r="F72" s="122" t="n"/>
      <c r="G72" s="122" t="n"/>
      <c r="H72" s="122" t="n"/>
      <c r="I72" s="122" t="n"/>
      <c r="J72" s="122" t="n"/>
      <c r="K72" s="122" t="n"/>
      <c r="L72" s="122" t="n"/>
      <c r="M72" s="122" t="n"/>
      <c r="N72" s="122" t="n"/>
      <c r="O72" s="122" t="n"/>
      <c r="P72" s="122" t="n"/>
      <c r="Q72" s="122" t="n"/>
      <c r="R72" s="122" t="n"/>
      <c r="S72" s="122" t="n"/>
      <c r="T72" s="122" t="n"/>
      <c r="U72" s="122" t="n"/>
      <c r="V72" s="122" t="n"/>
      <c r="W72" s="122" t="n"/>
      <c r="X72" s="122" t="n"/>
      <c r="Y72" s="122" t="n"/>
      <c r="Z72" s="122" t="n"/>
    </row>
    <row r="73" ht="18" customHeight="1">
      <c r="A73" s="122" t="n"/>
      <c r="B73" s="147" t="inlineStr">
        <is>
          <t>Enterprise Value</t>
        </is>
      </c>
      <c r="C73" s="122" t="n"/>
      <c r="D73" s="286">
        <f>$D$70+$D$71</f>
        <v/>
      </c>
      <c r="E73" s="122" t="n"/>
      <c r="F73" s="122" t="n"/>
      <c r="G73" s="122" t="n"/>
      <c r="H73" s="122" t="n"/>
      <c r="I73" s="122" t="n"/>
      <c r="J73" s="122" t="n"/>
      <c r="K73" s="122" t="n"/>
      <c r="L73" s="122" t="n"/>
      <c r="M73" s="122" t="n"/>
      <c r="N73" s="122" t="n"/>
      <c r="O73" s="122" t="n"/>
      <c r="P73" s="122" t="n"/>
      <c r="Q73" s="122" t="n"/>
      <c r="R73" s="122" t="n"/>
      <c r="S73" s="122" t="n"/>
      <c r="T73" s="122" t="n"/>
      <c r="U73" s="122" t="n"/>
      <c r="V73" s="122" t="n"/>
      <c r="W73" s="122" t="n"/>
      <c r="X73" s="122" t="n"/>
      <c r="Y73" s="122" t="n"/>
      <c r="Z73" s="122" t="n"/>
    </row>
    <row r="74">
      <c r="A74" s="122" t="n"/>
      <c r="B74" s="122" t="n"/>
      <c r="C74" s="122" t="n"/>
      <c r="D74" s="122" t="n"/>
      <c r="E74" s="122" t="n"/>
      <c r="F74" s="122" t="n"/>
      <c r="G74" s="122" t="n"/>
      <c r="H74" s="122" t="n"/>
      <c r="I74" s="122" t="n"/>
      <c r="J74" s="122" t="n"/>
      <c r="K74" s="122" t="n"/>
      <c r="L74" s="122" t="n"/>
      <c r="M74" s="122" t="n"/>
      <c r="N74" s="122" t="n"/>
      <c r="O74" s="122" t="n"/>
      <c r="P74" s="122" t="n"/>
      <c r="Q74" s="122" t="n"/>
      <c r="R74" s="122" t="n"/>
      <c r="S74" s="122" t="n"/>
      <c r="T74" s="122" t="n"/>
      <c r="U74" s="122" t="n"/>
      <c r="V74" s="122" t="n"/>
      <c r="W74" s="122" t="n"/>
      <c r="X74" s="122" t="n"/>
      <c r="Y74" s="122" t="n"/>
      <c r="Z74" s="122" t="n"/>
    </row>
    <row r="75">
      <c r="A75" s="122" t="n"/>
      <c r="B75" s="122" t="inlineStr">
        <is>
          <t>(+) Cash &amp; Equivalents</t>
        </is>
      </c>
      <c r="C75" s="122" t="n"/>
      <c r="D75" s="274" t="n">
        <v>132420</v>
      </c>
      <c r="E75" s="122" t="n"/>
      <c r="F75" s="122" t="n"/>
      <c r="G75" s="122" t="n"/>
      <c r="H75" s="122" t="n"/>
      <c r="I75" s="122" t="n"/>
      <c r="J75" s="122" t="n"/>
      <c r="K75" s="122" t="n"/>
      <c r="L75" s="122" t="n"/>
      <c r="M75" s="122" t="n"/>
      <c r="N75" s="122" t="n"/>
      <c r="O75" s="122" t="n"/>
      <c r="P75" s="122" t="n"/>
      <c r="Q75" s="122" t="n"/>
      <c r="R75" s="122" t="n"/>
      <c r="S75" s="122" t="n"/>
      <c r="T75" s="122" t="n"/>
      <c r="U75" s="122" t="n"/>
      <c r="V75" s="122" t="n"/>
      <c r="W75" s="122" t="n"/>
      <c r="X75" s="122" t="n"/>
      <c r="Y75" s="122" t="n"/>
      <c r="Z75" s="122" t="n"/>
    </row>
    <row r="76">
      <c r="A76" s="122" t="n"/>
      <c r="B76" s="122" t="inlineStr">
        <is>
          <t>(-) Total Debt</t>
        </is>
      </c>
      <c r="C76" s="122" t="n"/>
      <c r="D76" s="274" t="n">
        <v>112377</v>
      </c>
      <c r="E76" s="122" t="n"/>
      <c r="F76" s="122" t="n"/>
      <c r="G76" s="122" t="n"/>
      <c r="H76" s="122" t="n"/>
      <c r="I76" s="122" t="n"/>
      <c r="J76" s="122" t="n"/>
      <c r="K76" s="122" t="n"/>
      <c r="L76" s="122" t="n"/>
      <c r="M76" s="122" t="n"/>
      <c r="N76" s="122" t="n"/>
      <c r="O76" s="122" t="n"/>
      <c r="P76" s="122" t="n"/>
      <c r="Q76" s="122" t="n"/>
      <c r="R76" s="122" t="n"/>
      <c r="S76" s="122" t="n"/>
      <c r="T76" s="122" t="n"/>
      <c r="U76" s="122" t="n"/>
      <c r="V76" s="122" t="n"/>
      <c r="W76" s="122" t="n"/>
      <c r="X76" s="122" t="n"/>
      <c r="Y76" s="122" t="n"/>
      <c r="Z76" s="122" t="n"/>
    </row>
    <row r="77">
      <c r="A77" s="122" t="n"/>
      <c r="B77" s="122" t="inlineStr">
        <is>
          <t>(-) Preferred Stock</t>
        </is>
      </c>
      <c r="C77" s="122" t="n"/>
      <c r="D77" s="274" t="n">
        <v>0</v>
      </c>
      <c r="E77" s="122" t="n"/>
      <c r="F77" s="122" t="n"/>
      <c r="G77" s="122" t="n"/>
      <c r="H77" s="122" t="n"/>
      <c r="I77" s="122" t="n"/>
      <c r="J77" s="122" t="n"/>
      <c r="K77" s="122" t="n"/>
      <c r="L77" s="122" t="n"/>
      <c r="M77" s="122" t="n"/>
      <c r="N77" s="122" t="n"/>
      <c r="O77" s="122" t="n"/>
      <c r="P77" s="122" t="n"/>
      <c r="Q77" s="122" t="n"/>
      <c r="R77" s="122" t="n"/>
      <c r="S77" s="122" t="n"/>
      <c r="T77" s="122" t="n"/>
      <c r="U77" s="122" t="n"/>
      <c r="V77" s="122" t="n"/>
      <c r="W77" s="122" t="n"/>
      <c r="X77" s="122" t="n"/>
      <c r="Y77" s="122" t="n"/>
      <c r="Z77" s="122" t="n"/>
    </row>
    <row r="78">
      <c r="A78" s="122" t="n"/>
      <c r="B78" s="122" t="inlineStr">
        <is>
          <t>(-) Minority Interest</t>
        </is>
      </c>
      <c r="C78" s="122" t="n"/>
      <c r="D78" s="274" t="n">
        <v>0</v>
      </c>
      <c r="E78" s="122" t="n"/>
      <c r="F78" s="122" t="n"/>
      <c r="G78" s="122" t="n"/>
      <c r="H78" s="122" t="n"/>
      <c r="I78" s="122" t="n"/>
      <c r="J78" s="122" t="n"/>
      <c r="K78" s="122" t="n"/>
      <c r="L78" s="122" t="n"/>
      <c r="M78" s="122" t="n"/>
      <c r="N78" s="122" t="n"/>
      <c r="O78" s="122" t="n"/>
      <c r="P78" s="122" t="n"/>
      <c r="Q78" s="122" t="n"/>
      <c r="R78" s="122" t="n"/>
      <c r="S78" s="122" t="n"/>
      <c r="T78" s="122" t="n"/>
      <c r="U78" s="122" t="n"/>
      <c r="V78" s="122" t="n"/>
      <c r="W78" s="122" t="n"/>
      <c r="X78" s="122" t="n"/>
      <c r="Y78" s="122" t="n"/>
      <c r="Z78" s="122" t="n"/>
    </row>
    <row r="79">
      <c r="A79" s="122" t="n"/>
      <c r="B79" s="122" t="n"/>
      <c r="C79" s="122" t="n"/>
      <c r="D79" s="122" t="n"/>
      <c r="E79" s="122" t="n"/>
      <c r="F79" s="122" t="n"/>
      <c r="G79" s="122" t="n"/>
      <c r="H79" s="122" t="n"/>
      <c r="I79" s="122" t="n"/>
      <c r="J79" s="122" t="n"/>
      <c r="K79" s="122" t="n"/>
      <c r="L79" s="122" t="n"/>
      <c r="M79" s="122" t="n"/>
      <c r="N79" s="122" t="n"/>
      <c r="O79" s="122" t="n"/>
      <c r="P79" s="122" t="n"/>
      <c r="Q79" s="122" t="n"/>
      <c r="R79" s="122" t="n"/>
      <c r="S79" s="122" t="n"/>
      <c r="T79" s="122" t="n"/>
      <c r="U79" s="122" t="n"/>
      <c r="V79" s="122" t="n"/>
      <c r="W79" s="122" t="n"/>
      <c r="X79" s="122" t="n"/>
      <c r="Y79" s="122" t="n"/>
      <c r="Z79" s="122" t="n"/>
    </row>
    <row r="80" ht="18.75" customHeight="1" thickBot="1">
      <c r="A80" s="122" t="n"/>
      <c r="B80" s="147" t="inlineStr">
        <is>
          <t>Equity Value</t>
        </is>
      </c>
      <c r="C80" s="122" t="n"/>
      <c r="D80" s="287">
        <f>$D$73+$D$75-$D$76-$D$77-$D$78</f>
        <v/>
      </c>
      <c r="E80" s="122" t="n"/>
      <c r="F80" s="122" t="n"/>
      <c r="G80" s="122" t="n"/>
      <c r="H80" s="122" t="n"/>
      <c r="I80" s="122" t="n"/>
      <c r="J80" s="122" t="n"/>
      <c r="K80" s="122" t="n"/>
      <c r="L80" s="122" t="n"/>
      <c r="M80" s="122" t="n"/>
      <c r="N80" s="122" t="n"/>
      <c r="O80" s="122" t="n"/>
      <c r="P80" s="122" t="n"/>
      <c r="Q80" s="122" t="n"/>
      <c r="R80" s="122" t="n"/>
      <c r="S80" s="122" t="n"/>
      <c r="T80" s="122" t="n"/>
      <c r="U80" s="122" t="n"/>
      <c r="V80" s="122" t="n"/>
      <c r="W80" s="122" t="n"/>
      <c r="X80" s="122" t="n"/>
      <c r="Y80" s="122" t="n"/>
      <c r="Z80" s="122" t="n"/>
    </row>
    <row r="81" ht="17.25" customHeight="1" thickTop="1">
      <c r="A81" s="122" t="n"/>
      <c r="B81" s="122" t="n"/>
      <c r="C81" s="122" t="n"/>
      <c r="D81" s="122" t="n"/>
      <c r="E81" s="122" t="n"/>
      <c r="F81" s="122" t="n"/>
      <c r="G81" s="122" t="n"/>
      <c r="H81" s="122" t="n"/>
      <c r="I81" s="122" t="n"/>
      <c r="J81" s="122" t="n"/>
      <c r="K81" s="122" t="n"/>
      <c r="L81" s="122" t="n"/>
      <c r="M81" s="122" t="n"/>
      <c r="N81" s="122" t="n"/>
      <c r="O81" s="122" t="n"/>
      <c r="P81" s="122" t="n"/>
      <c r="Q81" s="122" t="n"/>
      <c r="R81" s="122" t="n"/>
      <c r="S81" s="122" t="n"/>
      <c r="T81" s="122" t="n"/>
      <c r="U81" s="122" t="n"/>
      <c r="V81" s="122" t="n"/>
      <c r="W81" s="122" t="n"/>
      <c r="X81" s="122" t="n"/>
      <c r="Y81" s="122" t="n"/>
      <c r="Z81" s="122" t="n"/>
    </row>
    <row r="82">
      <c r="A82" s="122" t="n"/>
      <c r="B82" s="122" t="inlineStr">
        <is>
          <t>Shares Outstanding (millions)</t>
        </is>
      </c>
      <c r="C82" s="122" t="n"/>
      <c r="D82" s="150" t="n">
        <v>14681.14</v>
      </c>
      <c r="E82" s="122" t="n"/>
      <c r="F82" s="122" t="n"/>
      <c r="G82" s="122" t="n"/>
      <c r="H82" s="122" t="n"/>
      <c r="I82" s="122" t="n"/>
      <c r="J82" s="122" t="n"/>
      <c r="K82" s="122" t="n"/>
      <c r="L82" s="122" t="n"/>
      <c r="M82" s="122" t="n"/>
      <c r="N82" s="122" t="n"/>
      <c r="O82" s="122" t="n"/>
      <c r="P82" s="122" t="n"/>
      <c r="Q82" s="122" t="n"/>
      <c r="R82" s="122" t="n"/>
      <c r="S82" s="122" t="n"/>
      <c r="T82" s="122" t="n"/>
      <c r="U82" s="122" t="n"/>
      <c r="V82" s="122" t="n"/>
      <c r="W82" s="122" t="n"/>
      <c r="X82" s="122" t="n"/>
      <c r="Y82" s="122" t="n"/>
      <c r="Z82" s="122" t="n"/>
    </row>
    <row r="83" ht="20.25" customHeight="1" thickBot="1">
      <c r="A83" s="122" t="n"/>
      <c r="B83" s="147" t="inlineStr">
        <is>
          <t>Implied Share Price</t>
        </is>
      </c>
      <c r="C83" s="122" t="n"/>
      <c r="D83" s="317">
        <f>IFERROR($D$80/$D$82,"")</f>
        <v/>
      </c>
      <c r="E83" s="122" t="n"/>
      <c r="F83" s="122" t="n"/>
      <c r="G83" s="122" t="n"/>
      <c r="H83" s="122" t="n"/>
      <c r="I83" s="122" t="n"/>
      <c r="J83" s="122" t="n"/>
      <c r="K83" s="122" t="n"/>
      <c r="L83" s="122" t="n"/>
      <c r="M83" s="122" t="n"/>
      <c r="N83" s="122" t="n"/>
      <c r="O83" s="122" t="n"/>
      <c r="P83" s="122" t="n"/>
      <c r="Q83" s="122" t="n"/>
      <c r="R83" s="122" t="n"/>
      <c r="S83" s="122" t="n"/>
      <c r="T83" s="122" t="n"/>
      <c r="U83" s="122" t="n"/>
      <c r="V83" s="122" t="n"/>
      <c r="W83" s="122" t="n"/>
      <c r="X83" s="122" t="n"/>
      <c r="Y83" s="122" t="n"/>
      <c r="Z83" s="122" t="n"/>
    </row>
    <row r="84" ht="17.25" customHeight="1" thickTop="1">
      <c r="A84" s="122" t="n"/>
      <c r="B84" s="122" t="n"/>
      <c r="C84" s="122" t="n"/>
      <c r="D84" s="122" t="n"/>
      <c r="E84" s="122" t="n"/>
      <c r="F84" s="122" t="n"/>
      <c r="G84" s="122" t="n"/>
      <c r="H84" s="122" t="n"/>
      <c r="I84" s="122" t="n"/>
      <c r="J84" s="122" t="n"/>
      <c r="K84" s="122" t="n"/>
      <c r="L84" s="122" t="n"/>
      <c r="M84" s="122" t="n"/>
      <c r="N84" s="122" t="n"/>
      <c r="O84" s="122" t="n"/>
      <c r="P84" s="122" t="n"/>
      <c r="Q84" s="122" t="n"/>
      <c r="R84" s="122" t="n"/>
      <c r="S84" s="122" t="n"/>
      <c r="T84" s="122" t="n"/>
      <c r="U84" s="122" t="n"/>
      <c r="V84" s="122" t="n"/>
      <c r="W84" s="122" t="n"/>
      <c r="X84" s="122" t="n"/>
      <c r="Y84" s="122" t="n"/>
      <c r="Z84" s="122" t="n"/>
    </row>
    <row r="85">
      <c r="A85" s="122" t="n"/>
      <c r="B85" s="130" t="inlineStr">
        <is>
          <t>Current Share Price</t>
        </is>
      </c>
      <c r="C85" s="122" t="n"/>
      <c r="D85" s="318">
        <f>OP!U6</f>
        <v/>
      </c>
      <c r="E85" s="122" t="n"/>
      <c r="F85" s="122" t="n"/>
      <c r="G85" s="122" t="n"/>
      <c r="H85" s="122" t="n"/>
      <c r="I85" s="122" t="n"/>
      <c r="J85" s="122" t="n"/>
      <c r="K85" s="122" t="n"/>
      <c r="L85" s="122" t="n"/>
      <c r="M85" s="122" t="n"/>
      <c r="N85" s="122" t="n"/>
      <c r="O85" s="122" t="n"/>
      <c r="P85" s="122" t="n"/>
      <c r="Q85" s="122" t="n"/>
      <c r="R85" s="122" t="n"/>
      <c r="S85" s="122" t="n"/>
      <c r="T85" s="122" t="n"/>
      <c r="U85" s="122" t="n"/>
      <c r="V85" s="122" t="n"/>
      <c r="W85" s="122" t="n"/>
      <c r="X85" s="122" t="n"/>
      <c r="Y85" s="122" t="n"/>
      <c r="Z85" s="122" t="n"/>
    </row>
    <row r="86">
      <c r="A86" s="122" t="n"/>
      <c r="B86" s="153" t="inlineStr">
        <is>
          <t>Upside / (Downside)</t>
        </is>
      </c>
      <c r="C86" s="122" t="n"/>
      <c r="D86" s="134">
        <f>IFERROR(D83/D85-1,"")</f>
        <v/>
      </c>
      <c r="E86" s="122" t="n"/>
      <c r="F86" s="122" t="n"/>
      <c r="G86" s="122" t="n"/>
      <c r="H86" s="122" t="n"/>
      <c r="I86" s="122" t="n"/>
      <c r="J86" s="122" t="n"/>
      <c r="K86" s="122" t="n"/>
      <c r="L86" s="122" t="n"/>
      <c r="M86" s="122" t="n"/>
      <c r="N86" s="122" t="n"/>
      <c r="O86" s="122" t="n"/>
      <c r="P86" s="122" t="n"/>
      <c r="Q86" s="122" t="n"/>
      <c r="R86" s="122" t="n"/>
      <c r="S86" s="122" t="n"/>
      <c r="T86" s="122" t="n"/>
      <c r="U86" s="122" t="n"/>
      <c r="V86" s="122" t="n"/>
      <c r="W86" s="122" t="n"/>
      <c r="X86" s="122" t="n"/>
      <c r="Y86" s="122" t="n"/>
      <c r="Z86" s="122" t="n"/>
    </row>
    <row r="87">
      <c r="A87" s="122" t="n"/>
      <c r="B87" s="122" t="n"/>
      <c r="C87" s="122" t="n"/>
      <c r="D87" s="122" t="n"/>
      <c r="E87" s="122" t="n"/>
      <c r="F87" s="122" t="n"/>
      <c r="G87" s="122" t="n"/>
      <c r="H87" s="122" t="n"/>
      <c r="I87" s="122" t="n"/>
      <c r="J87" s="122" t="n"/>
      <c r="K87" s="122" t="n"/>
      <c r="L87" s="122" t="n"/>
      <c r="M87" s="122" t="n"/>
      <c r="N87" s="122" t="n"/>
      <c r="O87" s="122" t="n"/>
      <c r="P87" s="122" t="n"/>
      <c r="Q87" s="122" t="n"/>
      <c r="R87" s="122" t="n"/>
      <c r="S87" s="122" t="n"/>
      <c r="T87" s="122" t="n"/>
      <c r="U87" s="122" t="n"/>
      <c r="V87" s="122" t="n"/>
      <c r="W87" s="122" t="n"/>
      <c r="X87" s="122" t="n"/>
      <c r="Y87" s="122" t="n"/>
      <c r="Z87" s="122" t="n"/>
    </row>
    <row r="88">
      <c r="A88" s="122" t="n"/>
      <c r="B88" s="238" t="inlineStr">
        <is>
          <t>Sensitivity Analysis: Implied Share Price</t>
        </is>
      </c>
      <c r="K88" s="122" t="n"/>
      <c r="L88" s="122" t="n"/>
      <c r="M88" s="122" t="n"/>
      <c r="N88" s="122" t="n"/>
      <c r="O88" s="122" t="n"/>
      <c r="P88" s="122" t="n"/>
      <c r="Q88" s="122" t="n"/>
      <c r="R88" s="122" t="n"/>
      <c r="S88" s="122" t="n"/>
      <c r="T88" s="122" t="n"/>
      <c r="U88" s="122" t="n"/>
      <c r="V88" s="122" t="n"/>
      <c r="W88" s="122" t="n"/>
      <c r="X88" s="122" t="n"/>
      <c r="Y88" s="122" t="n"/>
      <c r="Z88" s="122" t="n"/>
    </row>
    <row r="89">
      <c r="A89" s="122" t="n"/>
      <c r="B89" s="122" t="n"/>
      <c r="C89" s="122" t="n"/>
      <c r="D89" s="122" t="n"/>
      <c r="E89" s="122" t="n"/>
      <c r="F89" s="122" t="n"/>
      <c r="G89" s="122" t="n"/>
      <c r="H89" s="122" t="n"/>
      <c r="I89" s="122" t="n"/>
      <c r="J89" s="122" t="n"/>
      <c r="K89" s="122" t="n"/>
      <c r="L89" s="122" t="n"/>
      <c r="M89" s="122" t="n"/>
      <c r="N89" s="122" t="n"/>
      <c r="O89" s="122" t="n"/>
      <c r="P89" s="122" t="n"/>
      <c r="Q89" s="122" t="n"/>
      <c r="R89" s="122" t="n"/>
      <c r="S89" s="122" t="n"/>
      <c r="T89" s="122" t="n"/>
      <c r="U89" s="122" t="n"/>
      <c r="V89" s="122" t="n"/>
      <c r="W89" s="122" t="n"/>
      <c r="X89" s="122" t="n"/>
      <c r="Y89" s="122" t="n"/>
      <c r="Z89" s="122" t="n"/>
    </row>
    <row r="90">
      <c r="A90" s="122" t="n"/>
      <c r="B90" s="130" t="inlineStr">
        <is>
          <t>WACC vs. Terminal Growth Rate</t>
        </is>
      </c>
      <c r="C90" s="122" t="n"/>
      <c r="D90" s="122" t="n"/>
      <c r="E90" s="122" t="n"/>
      <c r="F90" s="122" t="n"/>
      <c r="G90" s="122" t="n"/>
      <c r="H90" s="122" t="n"/>
      <c r="I90" s="122" t="n"/>
      <c r="J90" s="122" t="n"/>
      <c r="K90" s="122" t="n"/>
      <c r="L90" s="122" t="n"/>
      <c r="M90" s="122" t="n"/>
      <c r="N90" s="122" t="n"/>
      <c r="O90" s="122" t="n"/>
      <c r="P90" s="122" t="n"/>
      <c r="Q90" s="122" t="n"/>
      <c r="R90" s="122" t="n"/>
      <c r="S90" s="122" t="n"/>
      <c r="T90" s="122" t="n"/>
      <c r="U90" s="122" t="n"/>
      <c r="V90" s="122" t="n"/>
      <c r="W90" s="122" t="n"/>
      <c r="X90" s="122" t="n"/>
      <c r="Y90" s="122" t="n"/>
      <c r="Z90" s="122" t="n"/>
    </row>
    <row r="91" ht="17.25" customHeight="1" thickBot="1">
      <c r="A91" s="122" t="n"/>
      <c r="B91" s="122" t="n"/>
      <c r="C91" s="290" t="inlineStr"/>
      <c r="D91" s="155">
        <f>$D$58-1.5%</f>
        <v/>
      </c>
      <c r="E91" s="155">
        <f>D91+0.5%</f>
        <v/>
      </c>
      <c r="F91" s="155">
        <f>E91+0.5%</f>
        <v/>
      </c>
      <c r="G91" s="155">
        <f>F91+0.5%</f>
        <v/>
      </c>
      <c r="H91" s="155">
        <f>G91+0.5%</f>
        <v/>
      </c>
      <c r="I91" s="155">
        <f>H91+0.5%</f>
        <v/>
      </c>
      <c r="J91" s="155">
        <f>I91+0.5%</f>
        <v/>
      </c>
      <c r="K91" s="122" t="n"/>
      <c r="L91" s="122" t="n"/>
      <c r="M91" s="122" t="n"/>
      <c r="N91" s="122" t="n"/>
      <c r="O91" s="122" t="n"/>
      <c r="P91" s="122" t="n"/>
      <c r="Q91" s="122" t="n"/>
      <c r="R91" s="122" t="n"/>
      <c r="S91" s="122" t="n"/>
      <c r="T91" s="122" t="n"/>
      <c r="U91" s="122" t="n"/>
      <c r="V91" s="122" t="n"/>
      <c r="W91" s="122" t="n"/>
      <c r="X91" s="122" t="n"/>
      <c r="Y91" s="122" t="n"/>
      <c r="Z91" s="122" t="n"/>
    </row>
    <row r="92">
      <c r="A92" s="122" t="n"/>
      <c r="B92" s="122" t="n"/>
      <c r="C92" s="156">
        <f>$D$57-1.5%</f>
        <v/>
      </c>
      <c r="D92" s="319">
        <f>IFERROR((SUMPRODUCT($J$50:$N$50/((1+$C92)^$J$52:$N$52))+(($N$50*(1+D$91))/($C92-D$91))/((1+$C92)^$N$52)+$D$75-$D$76-$D$77-$D$78)/$D$82,"")</f>
        <v/>
      </c>
      <c r="E92" s="319">
        <f>IFERROR((SUMPRODUCT($J$50:$N$50/((1+$C92)^$J$52:$N$52))+(($N$50*(1+E$91))/($C92-E$91))/((1+$C92)^$N$52)+$D$75-$D$76-$D$77-$D$78)/$D$82,"")</f>
        <v/>
      </c>
      <c r="F92" s="319">
        <f>IFERROR((SUMPRODUCT($J$50:$N$50/((1+$C92)^$J$52:$N$52))+(($N$50*(1+F$91))/($C92-F$91))/((1+$C92)^$N$52)+$D$75-$D$76-$D$77-$D$78)/$D$82,"")</f>
        <v/>
      </c>
      <c r="G92" s="319">
        <f>IFERROR((SUMPRODUCT($J$50:$N$50/((1+$C92)^$J$52:$N$52))+(($N$50*(1+G$91))/($C92-G$91))/((1+$C92)^$N$52)+$D$75-$D$76-$D$77-$D$78)/$D$82,"")</f>
        <v/>
      </c>
      <c r="H92" s="319">
        <f>IFERROR((SUMPRODUCT($J$50:$N$50/((1+$C92)^$J$52:$N$52))+(($N$50*(1+H$91))/($C92-H$91))/((1+$C92)^$N$52)+$D$75-$D$76-$D$77-$D$78)/$D$82,"")</f>
        <v/>
      </c>
      <c r="I92" s="319">
        <f>IFERROR((SUMPRODUCT($J$50:$N$50/((1+$C92)^$J$52:$N$52))+(($N$50*(1+I$91))/($C92-I$91))/((1+$C92)^$N$52)+$D$75-$D$76-$D$77-$D$78)/$D$82,"")</f>
        <v/>
      </c>
      <c r="J92" s="319">
        <f>IFERROR((SUMPRODUCT($J$50:$N$50/((1+$C92)^$J$52:$N$52))+(($N$50*(1+J$91))/($C92-J$91))/((1+$C92)^$N$52)+$D$75-$D$76-$D$77-$D$78)/$D$82,"")</f>
        <v/>
      </c>
      <c r="K92" s="122" t="n"/>
      <c r="L92" s="122" t="n"/>
      <c r="M92" s="122" t="n"/>
      <c r="N92" s="122" t="n"/>
      <c r="O92" s="122" t="n"/>
      <c r="P92" s="122" t="n"/>
      <c r="Q92" s="122" t="n"/>
      <c r="R92" s="122" t="n"/>
      <c r="S92" s="122" t="n"/>
      <c r="T92" s="122" t="n"/>
      <c r="U92" s="122" t="n"/>
      <c r="V92" s="122" t="n"/>
      <c r="W92" s="122" t="n"/>
      <c r="X92" s="122" t="n"/>
      <c r="Y92" s="122" t="n"/>
      <c r="Z92" s="122" t="n"/>
    </row>
    <row r="93">
      <c r="A93" s="122" t="n"/>
      <c r="B93" s="122" t="n"/>
      <c r="C93" s="158">
        <f>C92+0.5%</f>
        <v/>
      </c>
      <c r="D93" s="320">
        <f>IFERROR((SUMPRODUCT($J$50:$N$50/((1+$C93)^$J$52:$N$52))+(($N$50*(1+D$91))/($C93-D$91))/((1+$C93)^$N$52)+$D$75-$D$76-$D$77-$D$78)/$D$82,"")</f>
        <v/>
      </c>
      <c r="E93" s="320">
        <f>IFERROR((SUMPRODUCT($J$50:$N$50/((1+$C93)^$J$52:$N$52))+(($N$50*(1+E$91))/($C93-E$91))/((1+$C93)^$N$52)+$D$75-$D$76-$D$77-$D$78)/$D$82,"")</f>
        <v/>
      </c>
      <c r="F93" s="320">
        <f>IFERROR((SUMPRODUCT($J$50:$N$50/((1+$C93)^$J$52:$N$52))+(($N$50*(1+F$91))/($C93-F$91))/((1+$C93)^$N$52)+$D$75-$D$76-$D$77-$D$78)/$D$82,"")</f>
        <v/>
      </c>
      <c r="G93" s="320">
        <f>IFERROR((SUMPRODUCT($J$50:$N$50/((1+$C93)^$J$52:$N$52))+(($N$50*(1+G$91))/($C93-G$91))/((1+$C93)^$N$52)+$D$75-$D$76-$D$77-$D$78)/$D$82,"")</f>
        <v/>
      </c>
      <c r="H93" s="320">
        <f>IFERROR((SUMPRODUCT($J$50:$N$50/((1+$C93)^$J$52:$N$52))+(($N$50*(1+H$91))/($C93-H$91))/((1+$C93)^$N$52)+$D$75-$D$76-$D$77-$D$78)/$D$82,"")</f>
        <v/>
      </c>
      <c r="I93" s="320">
        <f>IFERROR((SUMPRODUCT($J$50:$N$50/((1+$C93)^$J$52:$N$52))+(($N$50*(1+I$91))/($C93-I$91))/((1+$C93)^$N$52)+$D$75-$D$76-$D$77-$D$78)/$D$82,"")</f>
        <v/>
      </c>
      <c r="J93" s="320">
        <f>IFERROR((SUMPRODUCT($J$50:$N$50/((1+$C93)^$J$52:$N$52))+(($N$50*(1+J$91))/($C93-J$91))/((1+$C93)^$N$52)+$D$75-$D$76-$D$77-$D$78)/$D$82,"")</f>
        <v/>
      </c>
      <c r="K93" s="122" t="n"/>
      <c r="L93" s="122" t="n"/>
      <c r="M93" s="122" t="n"/>
      <c r="N93" s="122" t="n"/>
      <c r="O93" s="122" t="n"/>
      <c r="P93" s="122" t="n"/>
      <c r="Q93" s="122" t="n"/>
      <c r="R93" s="122" t="n"/>
      <c r="S93" s="122" t="n"/>
      <c r="T93" s="122" t="n"/>
      <c r="U93" s="122" t="n"/>
      <c r="V93" s="122" t="n"/>
      <c r="W93" s="122" t="n"/>
      <c r="X93" s="122" t="n"/>
      <c r="Y93" s="122" t="n"/>
      <c r="Z93" s="122" t="n"/>
    </row>
    <row r="94">
      <c r="A94" s="122" t="n"/>
      <c r="B94" s="122" t="n"/>
      <c r="C94" s="156">
        <f>C93+0.5%</f>
        <v/>
      </c>
      <c r="D94" s="319">
        <f>IFERROR((SUMPRODUCT($J$50:$N$50/((1+$C94)^$J$52:$N$52))+(($N$50*(1+D$91))/($C94-D$91))/((1+$C94)^$N$52)+$D$75-$D$76-$D$77-$D$78)/$D$82,"")</f>
        <v/>
      </c>
      <c r="E94" s="319">
        <f>IFERROR((SUMPRODUCT($J$50:$N$50/((1+$C94)^$J$52:$N$52))+(($N$50*(1+E$91))/($C94-E$91))/((1+$C94)^$N$52)+$D$75-$D$76-$D$77-$D$78)/$D$82,"")</f>
        <v/>
      </c>
      <c r="F94" s="319">
        <f>IFERROR((SUMPRODUCT($J$50:$N$50/((1+$C94)^$J$52:$N$52))+(($N$50*(1+F$91))/($C94-F$91))/((1+$C94)^$N$52)+$D$75-$D$76-$D$77-$D$78)/$D$82,"")</f>
        <v/>
      </c>
      <c r="G94" s="319">
        <f>IFERROR((SUMPRODUCT($J$50:$N$50/((1+$C94)^$J$52:$N$52))+(($N$50*(1+G$91))/($C94-G$91))/((1+$C94)^$N$52)+$D$75-$D$76-$D$77-$D$78)/$D$82,"")</f>
        <v/>
      </c>
      <c r="H94" s="319">
        <f>IFERROR((SUMPRODUCT($J$50:$N$50/((1+$C94)^$J$52:$N$52))+(($N$50*(1+H$91))/($C94-H$91))/((1+$C94)^$N$52)+$D$75-$D$76-$D$77-$D$78)/$D$82,"")</f>
        <v/>
      </c>
      <c r="I94" s="319">
        <f>IFERROR((SUMPRODUCT($J$50:$N$50/((1+$C94)^$J$52:$N$52))+(($N$50*(1+I$91))/($C94-I$91))/((1+$C94)^$N$52)+$D$75-$D$76-$D$77-$D$78)/$D$82,"")</f>
        <v/>
      </c>
      <c r="J94" s="319">
        <f>IFERROR((SUMPRODUCT($J$50:$N$50/((1+$C94)^$J$52:$N$52))+(($N$50*(1+J$91))/($C94-J$91))/((1+$C94)^$N$52)+$D$75-$D$76-$D$77-$D$78)/$D$82,"")</f>
        <v/>
      </c>
      <c r="K94" s="122" t="n"/>
      <c r="L94" s="122" t="n"/>
      <c r="M94" s="122" t="n"/>
      <c r="N94" s="122" t="n"/>
      <c r="O94" s="122" t="n"/>
      <c r="P94" s="122" t="n"/>
      <c r="Q94" s="122" t="n"/>
      <c r="R94" s="122" t="n"/>
      <c r="S94" s="122" t="n"/>
      <c r="T94" s="122" t="n"/>
      <c r="U94" s="122" t="n"/>
      <c r="V94" s="122" t="n"/>
      <c r="W94" s="122" t="n"/>
      <c r="X94" s="122" t="n"/>
      <c r="Y94" s="122" t="n"/>
      <c r="Z94" s="122" t="n"/>
    </row>
    <row r="95">
      <c r="A95" s="122" t="n"/>
      <c r="B95" s="122" t="n"/>
      <c r="C95" s="158">
        <f>C94+0.5%</f>
        <v/>
      </c>
      <c r="D95" s="320">
        <f>IFERROR((SUMPRODUCT($J$50:$N$50/((1+$C95)^$J$52:$N$52))+(($N$50*(1+D$91))/($C95-D$91))/((1+$C95)^$N$52)+$D$75-$D$76-$D$77-$D$78)/$D$82,"")</f>
        <v/>
      </c>
      <c r="E95" s="320">
        <f>IFERROR((SUMPRODUCT($J$50:$N$50/((1+$C95)^$J$52:$N$52))+(($N$50*(1+E$91))/($C95-E$91))/((1+$C95)^$N$52)+$D$75-$D$76-$D$77-$D$78)/$D$82,"")</f>
        <v/>
      </c>
      <c r="F95" s="320">
        <f>IFERROR((SUMPRODUCT($J$50:$N$50/((1+$C95)^$J$52:$N$52))+(($N$50*(1+F$91))/($C95-F$91))/((1+$C95)^$N$52)+$D$75-$D$76-$D$77-$D$78)/$D$82,"")</f>
        <v/>
      </c>
      <c r="G95" s="321">
        <f>IFERROR((SUMPRODUCT($J$50:$N$50/((1+$C95)^$J$52:$N$52))+(($N$50*(1+G$91))/($C95-G$91))/((1+$C95)^$N$52)+$D$75-$D$76-$D$77-$D$78)/$D$82,"")</f>
        <v/>
      </c>
      <c r="H95" s="320">
        <f>IFERROR((SUMPRODUCT($J$50:$N$50/((1+$C95)^$J$52:$N$52))+(($N$50*(1+H$91))/($C95-H$91))/((1+$C95)^$N$52)+$D$75-$D$76-$D$77-$D$78)/$D$82,"")</f>
        <v/>
      </c>
      <c r="I95" s="320">
        <f>IFERROR((SUMPRODUCT($J$50:$N$50/((1+$C95)^$J$52:$N$52))+(($N$50*(1+I$91))/($C95-I$91))/((1+$C95)^$N$52)+$D$75-$D$76-$D$77-$D$78)/$D$82,"")</f>
        <v/>
      </c>
      <c r="J95" s="320">
        <f>IFERROR((SUMPRODUCT($J$50:$N$50/((1+$C95)^$J$52:$N$52))+(($N$50*(1+J$91))/($C95-J$91))/((1+$C95)^$N$52)+$D$75-$D$76-$D$77-$D$78)/$D$82,"")</f>
        <v/>
      </c>
      <c r="K95" s="122" t="n"/>
      <c r="L95" s="122" t="n"/>
      <c r="M95" s="122" t="n"/>
      <c r="N95" s="122" t="n"/>
      <c r="O95" s="122" t="n"/>
      <c r="P95" s="122" t="n"/>
      <c r="Q95" s="122" t="n"/>
      <c r="R95" s="122" t="n"/>
      <c r="S95" s="122" t="n"/>
      <c r="T95" s="122" t="n"/>
      <c r="U95" s="122" t="n"/>
      <c r="V95" s="122" t="n"/>
      <c r="W95" s="122" t="n"/>
      <c r="X95" s="122" t="n"/>
      <c r="Y95" s="122" t="n"/>
      <c r="Z95" s="122" t="n"/>
    </row>
    <row r="96">
      <c r="A96" s="122" t="n"/>
      <c r="B96" s="122" t="n"/>
      <c r="C96" s="156">
        <f>C95+0.5%</f>
        <v/>
      </c>
      <c r="D96" s="319">
        <f>IFERROR((SUMPRODUCT($J$50:$N$50/((1+$C96)^$J$52:$N$52))+(($N$50*(1+D$91))/($C96-D$91))/((1+$C96)^$N$52)+$D$75-$D$76-$D$77-$D$78)/$D$82,"")</f>
        <v/>
      </c>
      <c r="E96" s="319">
        <f>IFERROR((SUMPRODUCT($J$50:$N$50/((1+$C96)^$J$52:$N$52))+(($N$50*(1+E$91))/($C96-E$91))/((1+$C96)^$N$52)+$D$75-$D$76-$D$77-$D$78)/$D$82,"")</f>
        <v/>
      </c>
      <c r="F96" s="319">
        <f>IFERROR((SUMPRODUCT($J$50:$N$50/((1+$C96)^$J$52:$N$52))+(($N$50*(1+F$91))/($C96-F$91))/((1+$C96)^$N$52)+$D$75-$D$76-$D$77-$D$78)/$D$82,"")</f>
        <v/>
      </c>
      <c r="G96" s="319">
        <f>IFERROR((SUMPRODUCT($J$50:$N$50/((1+$C96)^$J$52:$N$52))+(($N$50*(1+G$91))/($C96-G$91))/((1+$C96)^$N$52)+$D$75-$D$76-$D$77-$D$78)/$D$82,"")</f>
        <v/>
      </c>
      <c r="H96" s="319">
        <f>IFERROR((SUMPRODUCT($J$50:$N$50/((1+$C96)^$J$52:$N$52))+(($N$50*(1+H$91))/($C96-H$91))/((1+$C96)^$N$52)+$D$75-$D$76-$D$77-$D$78)/$D$82,"")</f>
        <v/>
      </c>
      <c r="I96" s="319">
        <f>IFERROR((SUMPRODUCT($J$50:$N$50/((1+$C96)^$J$52:$N$52))+(($N$50*(1+I$91))/($C96-I$91))/((1+$C96)^$N$52)+$D$75-$D$76-$D$77-$D$78)/$D$82,"")</f>
        <v/>
      </c>
      <c r="J96" s="319">
        <f>IFERROR((SUMPRODUCT($J$50:$N$50/((1+$C96)^$J$52:$N$52))+(($N$50*(1+J$91))/($C96-J$91))/((1+$C96)^$N$52)+$D$75-$D$76-$D$77-$D$78)/$D$82,"")</f>
        <v/>
      </c>
      <c r="K96" s="122" t="n"/>
      <c r="L96" s="122" t="n"/>
      <c r="M96" s="122" t="n"/>
      <c r="N96" s="122" t="n"/>
      <c r="O96" s="122" t="n"/>
      <c r="P96" s="122" t="n"/>
      <c r="Q96" s="122" t="n"/>
      <c r="R96" s="122" t="n"/>
      <c r="S96" s="122" t="n"/>
      <c r="T96" s="122" t="n"/>
      <c r="U96" s="122" t="n"/>
      <c r="V96" s="122" t="n"/>
      <c r="W96" s="122" t="n"/>
      <c r="X96" s="122" t="n"/>
      <c r="Y96" s="122" t="n"/>
      <c r="Z96" s="122" t="n"/>
    </row>
    <row r="97">
      <c r="A97" s="122" t="n"/>
      <c r="B97" s="122" t="n"/>
      <c r="C97" s="158">
        <f>C96+0.5%</f>
        <v/>
      </c>
      <c r="D97" s="320">
        <f>IFERROR((SUMPRODUCT($J$50:$N$50/((1+$C97)^$J$52:$N$52))+(($N$50*(1+D$91))/($C97-D$91))/((1+$C97)^$N$52)+$D$75-$D$76-$D$77-$D$78)/$D$82,"")</f>
        <v/>
      </c>
      <c r="E97" s="320">
        <f>IFERROR((SUMPRODUCT($J$50:$N$50/((1+$C97)^$J$52:$N$52))+(($N$50*(1+E$91))/($C97-E$91))/((1+$C97)^$N$52)+$D$75-$D$76-$D$77-$D$78)/$D$82,"")</f>
        <v/>
      </c>
      <c r="F97" s="320">
        <f>IFERROR((SUMPRODUCT($J$50:$N$50/((1+$C97)^$J$52:$N$52))+(($N$50*(1+F$91))/($C97-F$91))/((1+$C97)^$N$52)+$D$75-$D$76-$D$77-$D$78)/$D$82,"")</f>
        <v/>
      </c>
      <c r="G97" s="320">
        <f>IFERROR((SUMPRODUCT($J$50:$N$50/((1+$C97)^$J$52:$N$52))+(($N$50*(1+G$91))/($C97-G$91))/((1+$C97)^$N$52)+$D$75-$D$76-$D$77-$D$78)/$D$82,"")</f>
        <v/>
      </c>
      <c r="H97" s="320">
        <f>IFERROR((SUMPRODUCT($J$50:$N$50/((1+$C97)^$J$52:$N$52))+(($N$50*(1+H$91))/($C97-H$91))/((1+$C97)^$N$52)+$D$75-$D$76-$D$77-$D$78)/$D$82,"")</f>
        <v/>
      </c>
      <c r="I97" s="320">
        <f>IFERROR((SUMPRODUCT($J$50:$N$50/((1+$C97)^$J$52:$N$52))+(($N$50*(1+I$91))/($C97-I$91))/((1+$C97)^$N$52)+$D$75-$D$76-$D$77-$D$78)/$D$82,"")</f>
        <v/>
      </c>
      <c r="J97" s="320">
        <f>IFERROR((SUMPRODUCT($J$50:$N$50/((1+$C97)^$J$52:$N$52))+(($N$50*(1+J$91))/($C97-J$91))/((1+$C97)^$N$52)+$D$75-$D$76-$D$77-$D$78)/$D$82,"")</f>
        <v/>
      </c>
      <c r="K97" s="122" t="n"/>
      <c r="L97" s="122" t="n"/>
      <c r="M97" s="122" t="n"/>
      <c r="N97" s="122" t="n"/>
      <c r="O97" s="122" t="n"/>
      <c r="P97" s="122" t="n"/>
      <c r="Q97" s="122" t="n"/>
      <c r="R97" s="122" t="n"/>
      <c r="S97" s="122" t="n"/>
      <c r="T97" s="122" t="n"/>
      <c r="U97" s="122" t="n"/>
      <c r="V97" s="122" t="n"/>
      <c r="W97" s="122" t="n"/>
      <c r="X97" s="122" t="n"/>
      <c r="Y97" s="122" t="n"/>
      <c r="Z97" s="122" t="n"/>
    </row>
    <row r="98">
      <c r="A98" s="122" t="n"/>
      <c r="B98" s="122" t="n"/>
      <c r="C98" s="156">
        <f>C97+0.5%</f>
        <v/>
      </c>
      <c r="D98" s="319">
        <f>IFERROR((SUMPRODUCT($J$50:$N$50/((1+$C98)^$J$52:$N$52))+(($N$50*(1+D$91))/($C98-D$91))/((1+$C98)^$N$52)+$D$75-$D$76-$D$77-$D$78)/$D$82,"")</f>
        <v/>
      </c>
      <c r="E98" s="319">
        <f>IFERROR((SUMPRODUCT($J$50:$N$50/((1+$C98)^$J$52:$N$52))+(($N$50*(1+E$91))/($C98-E$91))/((1+$C98)^$N$52)+$D$75-$D$76-$D$77-$D$78)/$D$82,"")</f>
        <v/>
      </c>
      <c r="F98" s="319">
        <f>IFERROR((SUMPRODUCT($J$50:$N$50/((1+$C98)^$J$52:$N$52))+(($N$50*(1+F$91))/($C98-F$91))/((1+$C98)^$N$52)+$D$75-$D$76-$D$77-$D$78)/$D$82,"")</f>
        <v/>
      </c>
      <c r="G98" s="319">
        <f>IFERROR((SUMPRODUCT($J$50:$N$50/((1+$C98)^$J$52:$N$52))+(($N$50*(1+G$91))/($C98-G$91))/((1+$C98)^$N$52)+$D$75-$D$76-$D$77-$D$78)/$D$82,"")</f>
        <v/>
      </c>
      <c r="H98" s="319">
        <f>IFERROR((SUMPRODUCT($J$50:$N$50/((1+$C98)^$J$52:$N$52))+(($N$50*(1+H$91))/($C98-H$91))/((1+$C98)^$N$52)+$D$75-$D$76-$D$77-$D$78)/$D$82,"")</f>
        <v/>
      </c>
      <c r="I98" s="319">
        <f>IFERROR((SUMPRODUCT($J$50:$N$50/((1+$C98)^$J$52:$N$52))+(($N$50*(1+I$91))/($C98-I$91))/((1+$C98)^$N$52)+$D$75-$D$76-$D$77-$D$78)/$D$82,"")</f>
        <v/>
      </c>
      <c r="J98" s="319">
        <f>IFERROR((SUMPRODUCT($J$50:$N$50/((1+$C98)^$J$52:$N$52))+(($N$50*(1+J$91))/($C98-J$91))/((1+$C98)^$N$52)+$D$75-$D$76-$D$77-$D$78)/$D$82,"")</f>
        <v/>
      </c>
      <c r="K98" s="122" t="n"/>
      <c r="L98" s="122" t="n"/>
      <c r="M98" s="122" t="n"/>
      <c r="N98" s="122" t="n"/>
      <c r="O98" s="122" t="n"/>
      <c r="P98" s="122" t="n"/>
      <c r="Q98" s="122" t="n"/>
      <c r="R98" s="122" t="n"/>
      <c r="S98" s="122" t="n"/>
      <c r="T98" s="122" t="n"/>
      <c r="U98" s="122" t="n"/>
      <c r="V98" s="122" t="n"/>
      <c r="W98" s="122" t="n"/>
      <c r="X98" s="122" t="n"/>
      <c r="Y98" s="122" t="n"/>
      <c r="Z98" s="122" t="n"/>
    </row>
    <row r="101">
      <c r="B101" s="161" t="inlineStr">
        <is>
          <t>WACC vs. Exit EV/EBITDA Multiple</t>
        </is>
      </c>
    </row>
    <row r="102" ht="17.25" customHeight="1" thickBot="1">
      <c r="C102" s="294" t="inlineStr"/>
      <c r="D102" s="322">
        <f>$D$59-3</f>
        <v/>
      </c>
      <c r="E102" s="322">
        <f>D102+1</f>
        <v/>
      </c>
      <c r="F102" s="322">
        <f>E102+1</f>
        <v/>
      </c>
      <c r="G102" s="322">
        <f>F102+1</f>
        <v/>
      </c>
      <c r="H102" s="322">
        <f>G102+1</f>
        <v/>
      </c>
      <c r="I102" s="322">
        <f>H102+1</f>
        <v/>
      </c>
      <c r="J102" s="322">
        <f>I102+1</f>
        <v/>
      </c>
    </row>
    <row r="103">
      <c r="C103" s="164">
        <f>$D$57-1.5%</f>
        <v/>
      </c>
      <c r="D103" s="323">
        <f>IFERROR((SUMPRODUCT($J$50:$N$50/((1+$C103)^$J$52:$N$52))+((($N$19+$N$24)*D$102)/((1+$C103)^$N$52))+$D$75-$D$76-$D$77-$D$78)/$D$82,"")</f>
        <v/>
      </c>
      <c r="E103" s="323">
        <f>IFERROR((SUMPRODUCT($J$50:$N$50/((1+$C103)^$J$52:$N$52))+((($N$19+$N$24)*E$102)/((1+$C103)^$N$52))+$D$75-$D$76-$D$77-$D$78)/$D$82,"")</f>
        <v/>
      </c>
      <c r="F103" s="323">
        <f>IFERROR((SUMPRODUCT($J$50:$N$50/((1+$C103)^$J$52:$N$52))+((($N$19+$N$24)*F$102)/((1+$C103)^$N$52))+$D$75-$D$76-$D$77-$D$78)/$D$82,"")</f>
        <v/>
      </c>
      <c r="G103" s="323">
        <f>IFERROR((SUMPRODUCT($J$50:$N$50/((1+$C103)^$J$52:$N$52))+((($N$19+$N$24)*G$102)/((1+$C103)^$N$52))+$D$75-$D$76-$D$77-$D$78)/$D$82,"")</f>
        <v/>
      </c>
      <c r="H103" s="323">
        <f>IFERROR((SUMPRODUCT($J$50:$N$50/((1+$C103)^$J$52:$N$52))+((($N$19+$N$24)*H$102)/((1+$C103)^$N$52))+$D$75-$D$76-$D$77-$D$78)/$D$82,"")</f>
        <v/>
      </c>
      <c r="I103" s="323">
        <f>IFERROR((SUMPRODUCT($J$50:$N$50/((1+$C103)^$J$52:$N$52))+((($N$19+$N$24)*I$102)/((1+$C103)^$N$52))+$D$75-$D$76-$D$77-$D$78)/$D$82,"")</f>
        <v/>
      </c>
      <c r="J103" s="323">
        <f>IFERROR((SUMPRODUCT($J$50:$N$50/((1+$C103)^$J$52:$N$52))+((($N$19+$N$24)*J$102)/((1+$C103)^$N$52))+$D$75-$D$76-$D$77-$D$78)/$D$82,"")</f>
        <v/>
      </c>
    </row>
    <row r="104">
      <c r="C104" s="166">
        <f>C103+0.5%</f>
        <v/>
      </c>
      <c r="D104" s="324">
        <f>IFERROR((SUMPRODUCT($J$50:$N$50/((1+$C104)^$J$52:$N$52))+((($N$19+$N$24)*D$102)/((1+$C104)^$N$52))+$D$75-$D$76-$D$77-$D$78)/$D$82,"")</f>
        <v/>
      </c>
      <c r="E104" s="324">
        <f>IFERROR((SUMPRODUCT($J$50:$N$50/((1+$C104)^$J$52:$N$52))+((($N$19+$N$24)*E$102)/((1+$C104)^$N$52))+$D$75-$D$76-$D$77-$D$78)/$D$82,"")</f>
        <v/>
      </c>
      <c r="F104" s="324">
        <f>IFERROR((SUMPRODUCT($J$50:$N$50/((1+$C104)^$J$52:$N$52))+((($N$19+$N$24)*F$102)/((1+$C104)^$N$52))+$D$75-$D$76-$D$77-$D$78)/$D$82,"")</f>
        <v/>
      </c>
      <c r="G104" s="324">
        <f>IFERROR((SUMPRODUCT($J$50:$N$50/((1+$C104)^$J$52:$N$52))+((($N$19+$N$24)*G$102)/((1+$C104)^$N$52))+$D$75-$D$76-$D$77-$D$78)/$D$82,"")</f>
        <v/>
      </c>
      <c r="H104" s="324">
        <f>IFERROR((SUMPRODUCT($J$50:$N$50/((1+$C104)^$J$52:$N$52))+((($N$19+$N$24)*H$102)/((1+$C104)^$N$52))+$D$75-$D$76-$D$77-$D$78)/$D$82,"")</f>
        <v/>
      </c>
      <c r="I104" s="324">
        <f>IFERROR((SUMPRODUCT($J$50:$N$50/((1+$C104)^$J$52:$N$52))+((($N$19+$N$24)*I$102)/((1+$C104)^$N$52))+$D$75-$D$76-$D$77-$D$78)/$D$82,"")</f>
        <v/>
      </c>
      <c r="J104" s="324">
        <f>IFERROR((SUMPRODUCT($J$50:$N$50/((1+$C104)^$J$52:$N$52))+((($N$19+$N$24)*J$102)/((1+$C104)^$N$52))+$D$75-$D$76-$D$77-$D$78)/$D$82,"")</f>
        <v/>
      </c>
    </row>
    <row r="105">
      <c r="C105" s="164">
        <f>C104+0.5%</f>
        <v/>
      </c>
      <c r="D105" s="323">
        <f>IFERROR((SUMPRODUCT($J$50:$N$50/((1+$C105)^$J$52:$N$52))+((($N$19+$N$24)*D$102)/((1+$C105)^$N$52))+$D$75-$D$76-$D$77-$D$78)/$D$82,"")</f>
        <v/>
      </c>
      <c r="E105" s="323">
        <f>IFERROR((SUMPRODUCT($J$50:$N$50/((1+$C105)^$J$52:$N$52))+((($N$19+$N$24)*E$102)/((1+$C105)^$N$52))+$D$75-$D$76-$D$77-$D$78)/$D$82,"")</f>
        <v/>
      </c>
      <c r="F105" s="323">
        <f>IFERROR((SUMPRODUCT($J$50:$N$50/((1+$C105)^$J$52:$N$52))+((($N$19+$N$24)*F$102)/((1+$C105)^$N$52))+$D$75-$D$76-$D$77-$D$78)/$D$82,"")</f>
        <v/>
      </c>
      <c r="G105" s="323">
        <f>IFERROR((SUMPRODUCT($J$50:$N$50/((1+$C105)^$J$52:$N$52))+((($N$19+$N$24)*G$102)/((1+$C105)^$N$52))+$D$75-$D$76-$D$77-$D$78)/$D$82,"")</f>
        <v/>
      </c>
      <c r="H105" s="323">
        <f>IFERROR((SUMPRODUCT($J$50:$N$50/((1+$C105)^$J$52:$N$52))+((($N$19+$N$24)*H$102)/((1+$C105)^$N$52))+$D$75-$D$76-$D$77-$D$78)/$D$82,"")</f>
        <v/>
      </c>
      <c r="I105" s="323">
        <f>IFERROR((SUMPRODUCT($J$50:$N$50/((1+$C105)^$J$52:$N$52))+((($N$19+$N$24)*I$102)/((1+$C105)^$N$52))+$D$75-$D$76-$D$77-$D$78)/$D$82,"")</f>
        <v/>
      </c>
      <c r="J105" s="323">
        <f>IFERROR((SUMPRODUCT($J$50:$N$50/((1+$C105)^$J$52:$N$52))+((($N$19+$N$24)*J$102)/((1+$C105)^$N$52))+$D$75-$D$76-$D$77-$D$78)/$D$82,"")</f>
        <v/>
      </c>
    </row>
    <row r="106">
      <c r="C106" s="166">
        <f>C105+0.5%</f>
        <v/>
      </c>
      <c r="D106" s="324">
        <f>IFERROR((SUMPRODUCT($J$50:$N$50/((1+$C106)^$J$52:$N$52))+((($N$19+$N$24)*D$102)/((1+$C106)^$N$52))+$D$75-$D$76-$D$77-$D$78)/$D$82,"")</f>
        <v/>
      </c>
      <c r="E106" s="324">
        <f>IFERROR((SUMPRODUCT($J$50:$N$50/((1+$C106)^$J$52:$N$52))+((($N$19+$N$24)*E$102)/((1+$C106)^$N$52))+$D$75-$D$76-$D$77-$D$78)/$D$82,"")</f>
        <v/>
      </c>
      <c r="F106" s="324">
        <f>IFERROR((SUMPRODUCT($J$50:$N$50/((1+$C106)^$J$52:$N$52))+((($N$19+$N$24)*F$102)/((1+$C106)^$N$52))+$D$75-$D$76-$D$77-$D$78)/$D$82,"")</f>
        <v/>
      </c>
      <c r="G106" s="325">
        <f>IFERROR((SUMPRODUCT($J$50:$N$50/((1+$C106)^$J$52:$N$52))+((($N$19+$N$24)*G$102)/((1+$C106)^$N$52))+$D$75-$D$76-$D$77-$D$78)/$D$82,"")</f>
        <v/>
      </c>
      <c r="H106" s="324">
        <f>IFERROR((SUMPRODUCT($J$50:$N$50/((1+$C106)^$J$52:$N$52))+((($N$19+$N$24)*H$102)/((1+$C106)^$N$52))+$D$75-$D$76-$D$77-$D$78)/$D$82,"")</f>
        <v/>
      </c>
      <c r="I106" s="324">
        <f>IFERROR((SUMPRODUCT($J$50:$N$50/((1+$C106)^$J$52:$N$52))+((($N$19+$N$24)*I$102)/((1+$C106)^$N$52))+$D$75-$D$76-$D$77-$D$78)/$D$82,"")</f>
        <v/>
      </c>
      <c r="J106" s="324">
        <f>IFERROR((SUMPRODUCT($J$50:$N$50/((1+$C106)^$J$52:$N$52))+((($N$19+$N$24)*J$102)/((1+$C106)^$N$52))+$D$75-$D$76-$D$77-$D$78)/$D$82,"")</f>
        <v/>
      </c>
    </row>
    <row r="107">
      <c r="C107" s="164">
        <f>C106+0.5%</f>
        <v/>
      </c>
      <c r="D107" s="323">
        <f>IFERROR((SUMPRODUCT($J$50:$N$50/((1+$C107)^$J$52:$N$52))+((($N$19+$N$24)*D$102)/((1+$C107)^$N$52))+$D$75-$D$76-$D$77-$D$78)/$D$82,"")</f>
        <v/>
      </c>
      <c r="E107" s="323">
        <f>IFERROR((SUMPRODUCT($J$50:$N$50/((1+$C107)^$J$52:$N$52))+((($N$19+$N$24)*E$102)/((1+$C107)^$N$52))+$D$75-$D$76-$D$77-$D$78)/$D$82,"")</f>
        <v/>
      </c>
      <c r="F107" s="323">
        <f>IFERROR((SUMPRODUCT($J$50:$N$50/((1+$C107)^$J$52:$N$52))+((($N$19+$N$24)*F$102)/((1+$C107)^$N$52))+$D$75-$D$76-$D$77-$D$78)/$D$82,"")</f>
        <v/>
      </c>
      <c r="G107" s="323">
        <f>IFERROR((SUMPRODUCT($J$50:$N$50/((1+$C107)^$J$52:$N$52))+((($N$19+$N$24)*G$102)/((1+$C107)^$N$52))+$D$75-$D$76-$D$77-$D$78)/$D$82,"")</f>
        <v/>
      </c>
      <c r="H107" s="323">
        <f>IFERROR((SUMPRODUCT($J$50:$N$50/((1+$C107)^$J$52:$N$52))+((($N$19+$N$24)*H$102)/((1+$C107)^$N$52))+$D$75-$D$76-$D$77-$D$78)/$D$82,"")</f>
        <v/>
      </c>
      <c r="I107" s="323">
        <f>IFERROR((SUMPRODUCT($J$50:$N$50/((1+$C107)^$J$52:$N$52))+((($N$19+$N$24)*I$102)/((1+$C107)^$N$52))+$D$75-$D$76-$D$77-$D$78)/$D$82,"")</f>
        <v/>
      </c>
      <c r="J107" s="323">
        <f>IFERROR((SUMPRODUCT($J$50:$N$50/((1+$C107)^$J$52:$N$52))+((($N$19+$N$24)*J$102)/((1+$C107)^$N$52))+$D$75-$D$76-$D$77-$D$78)/$D$82,"")</f>
        <v/>
      </c>
    </row>
    <row r="108">
      <c r="C108" s="166">
        <f>C107+0.5%</f>
        <v/>
      </c>
      <c r="D108" s="324">
        <f>IFERROR((SUMPRODUCT($J$50:$N$50/((1+$C108)^$J$52:$N$52))+((($N$19+$N$24)*D$102)/((1+$C108)^$N$52))+$D$75-$D$76-$D$77-$D$78)/$D$82,"")</f>
        <v/>
      </c>
      <c r="E108" s="324">
        <f>IFERROR((SUMPRODUCT($J$50:$N$50/((1+$C108)^$J$52:$N$52))+((($N$19+$N$24)*E$102)/((1+$C108)^$N$52))+$D$75-$D$76-$D$77-$D$78)/$D$82,"")</f>
        <v/>
      </c>
      <c r="F108" s="324">
        <f>IFERROR((SUMPRODUCT($J$50:$N$50/((1+$C108)^$J$52:$N$52))+((($N$19+$N$24)*F$102)/((1+$C108)^$N$52))+$D$75-$D$76-$D$77-$D$78)/$D$82,"")</f>
        <v/>
      </c>
      <c r="G108" s="324">
        <f>IFERROR((SUMPRODUCT($J$50:$N$50/((1+$C108)^$J$52:$N$52))+((($N$19+$N$24)*G$102)/((1+$C108)^$N$52))+$D$75-$D$76-$D$77-$D$78)/$D$82,"")</f>
        <v/>
      </c>
      <c r="H108" s="324">
        <f>IFERROR((SUMPRODUCT($J$50:$N$50/((1+$C108)^$J$52:$N$52))+((($N$19+$N$24)*H$102)/((1+$C108)^$N$52))+$D$75-$D$76-$D$77-$D$78)/$D$82,"")</f>
        <v/>
      </c>
      <c r="I108" s="324">
        <f>IFERROR((SUMPRODUCT($J$50:$N$50/((1+$C108)^$J$52:$N$52))+((($N$19+$N$24)*I$102)/((1+$C108)^$N$52))+$D$75-$D$76-$D$77-$D$78)/$D$82,"")</f>
        <v/>
      </c>
      <c r="J108" s="324">
        <f>IFERROR((SUMPRODUCT($J$50:$N$50/((1+$C108)^$J$52:$N$52))+((($N$19+$N$24)*J$102)/((1+$C108)^$N$52))+$D$75-$D$76-$D$77-$D$78)/$D$82,"")</f>
        <v/>
      </c>
    </row>
    <row r="109">
      <c r="C109" s="164">
        <f>C108+0.5%</f>
        <v/>
      </c>
      <c r="D109" s="323">
        <f>IFERROR((SUMPRODUCT($J$50:$N$50/((1+$C109)^$J$52:$N$52))+((($N$19+$N$24)*D$102)/((1+$C109)^$N$52))+$D$75-$D$76-$D$77-$D$78)/$D$82,"")</f>
        <v/>
      </c>
      <c r="E109" s="323">
        <f>IFERROR((SUMPRODUCT($J$50:$N$50/((1+$C109)^$J$52:$N$52))+((($N$19+$N$24)*E$102)/((1+$C109)^$N$52))+$D$75-$D$76-$D$77-$D$78)/$D$82,"")</f>
        <v/>
      </c>
      <c r="F109" s="323">
        <f>IFERROR((SUMPRODUCT($J$50:$N$50/((1+$C109)^$J$52:$N$52))+((($N$19+$N$24)*F$102)/((1+$C109)^$N$52))+$D$75-$D$76-$D$77-$D$78)/$D$82,"")</f>
        <v/>
      </c>
      <c r="G109" s="323">
        <f>IFERROR((SUMPRODUCT($J$50:$N$50/((1+$C109)^$J$52:$N$52))+((($N$19+$N$24)*G$102)/((1+$C109)^$N$52))+$D$75-$D$76-$D$77-$D$78)/$D$82,"")</f>
        <v/>
      </c>
      <c r="H109" s="323">
        <f>IFERROR((SUMPRODUCT($J$50:$N$50/((1+$C109)^$J$52:$N$52))+((($N$19+$N$24)*H$102)/((1+$C109)^$N$52))+$D$75-$D$76-$D$77-$D$78)/$D$82,"")</f>
        <v/>
      </c>
      <c r="I109" s="323">
        <f>IFERROR((SUMPRODUCT($J$50:$N$50/((1+$C109)^$J$52:$N$52))+((($N$19+$N$24)*I$102)/((1+$C109)^$N$52))+$D$75-$D$76-$D$77-$D$78)/$D$82,"")</f>
        <v/>
      </c>
      <c r="J109" s="323">
        <f>IFERROR((SUMPRODUCT($J$50:$N$50/((1+$C109)^$J$52:$N$52))+((($N$19+$N$24)*J$102)/((1+$C109)^$N$52))+$D$75-$D$76-$D$77-$D$78)/$D$82,"")</f>
        <v/>
      </c>
    </row>
    <row r="111">
      <c r="B111" s="169" t="n"/>
    </row>
    <row r="113">
      <c r="B113" s="161" t="n"/>
    </row>
    <row r="114">
      <c r="B114" s="170" t="n"/>
    </row>
    <row r="115">
      <c r="B115" s="170" t="n"/>
    </row>
    <row r="116">
      <c r="B116" s="170" t="n"/>
    </row>
    <row r="117">
      <c r="B117" s="170" t="n"/>
    </row>
    <row r="118">
      <c r="B118" s="170" t="n"/>
    </row>
    <row r="119">
      <c r="B119" s="170" t="n"/>
    </row>
    <row r="120">
      <c r="B120" s="170" t="n"/>
    </row>
    <row r="121">
      <c r="B121" s="170" t="n"/>
    </row>
    <row r="122">
      <c r="B122" s="170" t="n"/>
    </row>
    <row r="123">
      <c r="B123" s="170" t="n"/>
    </row>
    <row r="124">
      <c r="B124" s="170" t="n"/>
    </row>
    <row r="125">
      <c r="B125" s="170" t="n"/>
    </row>
    <row r="126">
      <c r="B126" s="170" t="n"/>
    </row>
    <row r="127">
      <c r="B127" s="170" t="n"/>
    </row>
    <row r="129">
      <c r="B129" s="171" t="n"/>
    </row>
    <row r="130">
      <c r="B130" s="172" t="n"/>
    </row>
    <row r="131">
      <c r="B131" s="173" t="n"/>
    </row>
    <row r="132">
      <c r="B132" s="174" t="n"/>
    </row>
    <row r="134">
      <c r="B134" s="175" t="n"/>
    </row>
  </sheetData>
  <mergeCells count="7">
    <mergeCell ref="J4:N4"/>
    <mergeCell ref="B22:N22"/>
    <mergeCell ref="B36:N36"/>
    <mergeCell ref="B55:N55"/>
    <mergeCell ref="B68:N68"/>
    <mergeCell ref="B88:J88"/>
    <mergeCell ref="D4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2" customWidth="1" min="8" max="8"/>
  </cols>
  <sheetData>
    <row r="1">
      <c r="A1" t="inlineStr">
        <is>
          <t>Driver</t>
        </is>
      </c>
      <c r="B1" t="inlineStr">
        <is>
          <t>Label</t>
        </is>
      </c>
      <c r="C1" t="inlineStr">
        <is>
          <t>Shock Kind</t>
        </is>
      </c>
      <c r="D1" t="inlineStr">
        <is>
          <t>Spread</t>
        </is>
      </c>
      <c r="E1" t="inlineStr">
        <is>
          <t>Low</t>
        </is>
      </c>
      <c r="F1" t="inlineStr">
        <is>
          <t>High</t>
        </is>
      </c>
      <c r="G1" t="inlineStr">
        <is>
          <t>Per Year?</t>
        </is>
      </c>
      <c r="H1" t="inlineStr">
        <is>
          <t>Description</t>
        </is>
      </c>
    </row>
    <row r="2">
      <c r="A2" t="inlineStr">
        <is>
          <t>revenue</t>
        </is>
      </c>
      <c r="B2" t="inlineStr">
        <is>
          <t>Revenue</t>
        </is>
      </c>
      <c r="C2" t="inlineStr">
        <is>
          <t>relative</t>
        </is>
      </c>
      <c r="D2" t="n">
        <v>0.05</v>
      </c>
      <c r="E2" t="n">
        <v>0.25</v>
      </c>
      <c r="F2" t="n">
        <v>2.5</v>
      </c>
      <c r="G2" t="inlineStr">
        <is>
          <t>Y</t>
        </is>
      </c>
      <c r="H2" t="inlineStr">
        <is>
          <t>Relative shock applied to projected revenue by year.</t>
        </is>
      </c>
    </row>
    <row r="3">
      <c r="A3" t="inlineStr">
        <is>
          <t>cogs_pct</t>
        </is>
      </c>
      <c r="B3" t="inlineStr">
        <is>
          <t>COGS %</t>
        </is>
      </c>
      <c r="C3" t="inlineStr">
        <is>
          <t>additive</t>
        </is>
      </c>
      <c r="D3" t="n">
        <v>0.02</v>
      </c>
      <c r="E3" t="n">
        <v>0.05</v>
      </c>
      <c r="F3" t="n">
        <v>0.95</v>
      </c>
      <c r="G3" t="inlineStr">
        <is>
          <t>Y</t>
        </is>
      </c>
      <c r="H3" t="inlineStr">
        <is>
          <t>Additive shock to COGS as a percent of revenue.</t>
        </is>
      </c>
    </row>
    <row r="4">
      <c r="A4" t="inlineStr">
        <is>
          <t>rd_pct</t>
        </is>
      </c>
      <c r="B4" t="inlineStr">
        <is>
          <t>R&amp;D %</t>
        </is>
      </c>
      <c r="C4" t="inlineStr">
        <is>
          <t>additive</t>
        </is>
      </c>
      <c r="D4" t="n">
        <v>0.01</v>
      </c>
      <c r="E4" t="n">
        <v>0</v>
      </c>
      <c r="F4" t="n">
        <v>0.25</v>
      </c>
      <c r="G4" t="inlineStr">
        <is>
          <t>Y</t>
        </is>
      </c>
      <c r="H4" t="inlineStr">
        <is>
          <t>Additive shock to R&amp;D as a percent of revenue.</t>
        </is>
      </c>
    </row>
    <row r="5">
      <c r="A5" t="inlineStr">
        <is>
          <t>sga_pct</t>
        </is>
      </c>
      <c r="B5" t="inlineStr">
        <is>
          <t>SG&amp;A %</t>
        </is>
      </c>
      <c r="C5" t="inlineStr">
        <is>
          <t>additive</t>
        </is>
      </c>
      <c r="D5" t="n">
        <v>0.015</v>
      </c>
      <c r="E5" t="n">
        <v>0.01</v>
      </c>
      <c r="F5" t="n">
        <v>0.6</v>
      </c>
      <c r="G5" t="inlineStr">
        <is>
          <t>Y</t>
        </is>
      </c>
      <c r="H5" t="inlineStr">
        <is>
          <t>Additive shock to SG&amp;A as a percent of revenue.</t>
        </is>
      </c>
    </row>
    <row r="6">
      <c r="A6" t="inlineStr">
        <is>
          <t>da_pct</t>
        </is>
      </c>
      <c r="B6" t="inlineStr">
        <is>
          <t>D&amp;A %</t>
        </is>
      </c>
      <c r="C6" t="inlineStr">
        <is>
          <t>additive</t>
        </is>
      </c>
      <c r="D6" t="n">
        <v>0.01</v>
      </c>
      <c r="E6" t="n">
        <v>0</v>
      </c>
      <c r="F6" t="n">
        <v>0.25</v>
      </c>
      <c r="G6" t="inlineStr">
        <is>
          <t>Y</t>
        </is>
      </c>
      <c r="H6" t="inlineStr">
        <is>
          <t>Additive shock to D&amp;A as a percent of revenue.</t>
        </is>
      </c>
    </row>
    <row r="7">
      <c r="A7" t="inlineStr">
        <is>
          <t>tax_rate</t>
        </is>
      </c>
      <c r="B7" t="inlineStr">
        <is>
          <t>Tax Rate</t>
        </is>
      </c>
      <c r="C7" t="inlineStr">
        <is>
          <t>additive</t>
        </is>
      </c>
      <c r="D7" t="n">
        <v>0.015</v>
      </c>
      <c r="E7" t="n">
        <v>0</v>
      </c>
      <c r="F7" t="n">
        <v>0.45</v>
      </c>
      <c r="G7" t="inlineStr">
        <is>
          <t>Y</t>
        </is>
      </c>
      <c r="H7" t="inlineStr">
        <is>
          <t>Additive shock to the effective tax rate.</t>
        </is>
      </c>
    </row>
    <row r="8">
      <c r="A8" t="inlineStr">
        <is>
          <t>capex</t>
        </is>
      </c>
      <c r="B8" t="inlineStr">
        <is>
          <t>CapEx</t>
        </is>
      </c>
      <c r="C8" t="inlineStr">
        <is>
          <t>relative</t>
        </is>
      </c>
      <c r="D8" t="n">
        <v>0.08</v>
      </c>
      <c r="E8" t="n">
        <v>0</v>
      </c>
      <c r="F8" t="n">
        <v>3</v>
      </c>
      <c r="G8" t="inlineStr">
        <is>
          <t>Y</t>
        </is>
      </c>
      <c r="H8" t="inlineStr">
        <is>
          <t>Relative shock applied to capital expenditures.</t>
        </is>
      </c>
    </row>
    <row r="9">
      <c r="A9" t="inlineStr">
        <is>
          <t>nwc</t>
        </is>
      </c>
      <c r="B9" t="inlineStr">
        <is>
          <t>Change in NWC</t>
        </is>
      </c>
      <c r="C9" t="inlineStr">
        <is>
          <t>relative</t>
        </is>
      </c>
      <c r="D9" t="n">
        <v>0.1</v>
      </c>
      <c r="E9" t="n">
        <v>0</v>
      </c>
      <c r="F9" t="n">
        <v>3</v>
      </c>
      <c r="G9" t="inlineStr">
        <is>
          <t>Y</t>
        </is>
      </c>
      <c r="H9" t="inlineStr">
        <is>
          <t>Relative shock applied to change in working capital.</t>
        </is>
      </c>
    </row>
    <row r="10">
      <c r="A10" t="inlineStr">
        <is>
          <t>wacc</t>
        </is>
      </c>
      <c r="B10" t="inlineStr">
        <is>
          <t>WACC</t>
        </is>
      </c>
      <c r="C10" t="inlineStr">
        <is>
          <t>additive</t>
        </is>
      </c>
      <c r="D10" t="n">
        <v>0.015</v>
      </c>
      <c r="E10" t="n">
        <v>0.04</v>
      </c>
      <c r="F10" t="n">
        <v>0.2</v>
      </c>
      <c r="G10" t="inlineStr">
        <is>
          <t>N</t>
        </is>
      </c>
      <c r="H10" t="inlineStr">
        <is>
          <t>Scalar shock to the discount rate.</t>
        </is>
      </c>
    </row>
    <row r="11">
      <c r="A11" t="inlineStr">
        <is>
          <t>exit_multiple</t>
        </is>
      </c>
      <c r="B11" t="inlineStr">
        <is>
          <t>Exit Multiple</t>
        </is>
      </c>
      <c r="C11" t="inlineStr">
        <is>
          <t>additive</t>
        </is>
      </c>
      <c r="D11" t="n">
        <v>3</v>
      </c>
      <c r="E11" t="n">
        <v>4</v>
      </c>
      <c r="F11" t="n">
        <v>25</v>
      </c>
      <c r="G11" t="inlineStr">
        <is>
          <t>N</t>
        </is>
      </c>
      <c r="H11" t="inlineStr">
        <is>
          <t>Scalar shock to the exit EV/EBITDA multiple.</t>
        </is>
      </c>
    </row>
    <row r="12">
      <c r="A12" t="inlineStr">
        <is>
          <t>terminal_g</t>
        </is>
      </c>
      <c r="B12" t="inlineStr">
        <is>
          <t>Terminal Growth</t>
        </is>
      </c>
      <c r="C12" t="inlineStr">
        <is>
          <t>additive</t>
        </is>
      </c>
      <c r="D12" t="n">
        <v>0.01</v>
      </c>
      <c r="E12" t="n">
        <v>0.005</v>
      </c>
      <c r="F12" t="n">
        <v>0.05</v>
      </c>
      <c r="G12" t="inlineStr">
        <is>
          <t>N</t>
        </is>
      </c>
      <c r="H12" t="inlineStr">
        <is>
          <t>Scalar shock to the terminal growth rate.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26" t="inlineStr">
        <is>
          <t>Monte Carlo Valuation Dashboard</t>
        </is>
      </c>
    </row>
    <row r="2">
      <c r="A2" t="inlineStr">
        <is>
          <t>Workbook: Stock Pitch - mine Excel Model-1.xlsx</t>
        </is>
      </c>
    </row>
    <row r="3">
      <c r="A3" t="inlineStr">
        <is>
          <t>Updated: 2026-03-17 15:34:42</t>
        </is>
      </c>
    </row>
    <row r="5">
      <c r="A5" s="327" t="inlineStr">
        <is>
          <t>Summary</t>
        </is>
      </c>
      <c r="D5" s="327" t="inlineStr">
        <is>
          <t>Sensitivity Ranking</t>
        </is>
      </c>
    </row>
    <row r="6">
      <c r="A6" s="328" t="inlineStr">
        <is>
          <t>Metric</t>
        </is>
      </c>
      <c r="B6" s="328" t="inlineStr">
        <is>
          <t>Value</t>
        </is>
      </c>
      <c r="D6" s="328" t="inlineStr">
        <is>
          <t>Parameter</t>
        </is>
      </c>
      <c r="E6" s="328" t="inlineStr">
        <is>
          <t>S1</t>
        </is>
      </c>
      <c r="F6" s="328" t="inlineStr">
        <is>
          <t>S1_conf</t>
        </is>
      </c>
      <c r="G6" s="328" t="inlineStr">
        <is>
          <t>ST</t>
        </is>
      </c>
      <c r="H6" s="328" t="inlineStr">
        <is>
          <t>ST_conf</t>
        </is>
      </c>
    </row>
    <row r="7">
      <c r="A7" s="329" t="inlineStr">
        <is>
          <t>Current Price</t>
        </is>
      </c>
      <c r="B7" s="330" t="n">
        <v>252.65</v>
      </c>
      <c r="D7" s="329" t="inlineStr">
        <is>
          <t>exit_multiple</t>
        </is>
      </c>
      <c r="E7" s="331" t="n">
        <v>0.4418602416080147</v>
      </c>
      <c r="F7" s="331" t="n">
        <v>0.01681860231499636</v>
      </c>
      <c r="G7" s="331" t="n">
        <v>0.4490828977689868</v>
      </c>
      <c r="H7" s="331" t="n">
        <v>0.01301407135853697</v>
      </c>
    </row>
    <row r="8">
      <c r="A8" s="329" t="inlineStr">
        <is>
          <t>Base DCF Target</t>
        </is>
      </c>
      <c r="B8" s="330" t="n">
        <v>236.3157437890207</v>
      </c>
      <c r="D8" s="329" t="inlineStr">
        <is>
          <t>wacc</t>
        </is>
      </c>
      <c r="E8" s="331" t="n">
        <v>0.1450919316388881</v>
      </c>
      <c r="F8" s="331" t="n">
        <v>0.01141685331304331</v>
      </c>
      <c r="G8" s="331" t="n">
        <v>0.1491768307285949</v>
      </c>
      <c r="H8" s="331" t="n">
        <v>0.004564894060002311</v>
      </c>
    </row>
    <row r="9">
      <c r="A9" s="329" t="inlineStr">
        <is>
          <t>Target Upside / Downside</t>
        </is>
      </c>
      <c r="B9" s="330" t="n">
        <v>-0.06465171664745417</v>
      </c>
      <c r="D9" s="329" t="inlineStr">
        <is>
          <t>cogs_pct</t>
        </is>
      </c>
      <c r="E9" s="331" t="n">
        <v>0.1392231589713601</v>
      </c>
      <c r="F9" s="331" t="n">
        <v>0.01070488510917496</v>
      </c>
      <c r="G9" s="331" t="n">
        <v>0.1421891498697871</v>
      </c>
      <c r="H9" s="331" t="n">
        <v>0.004635640531908214</v>
      </c>
    </row>
    <row r="10">
      <c r="A10" s="329" t="inlineStr">
        <is>
          <t>Monte Carlo Mean</t>
        </is>
      </c>
      <c r="B10" s="330" t="n">
        <v>235.0092741936352</v>
      </c>
      <c r="D10" s="329" t="inlineStr">
        <is>
          <t>revenue</t>
        </is>
      </c>
      <c r="E10" s="331" t="n">
        <v>0.1134597692870788</v>
      </c>
      <c r="F10" s="331" t="n">
        <v>0.008747394180778896</v>
      </c>
      <c r="G10" s="331" t="n">
        <v>0.1163787182769554</v>
      </c>
      <c r="H10" s="331" t="n">
        <v>0.003899129753645042</v>
      </c>
    </row>
    <row r="11">
      <c r="A11" s="329" t="inlineStr">
        <is>
          <t>Monte Carlo Median</t>
        </is>
      </c>
      <c r="B11" s="330" t="n">
        <v>234.0183326045165</v>
      </c>
      <c r="D11" s="329" t="inlineStr">
        <is>
          <t>sga_pct</t>
        </is>
      </c>
      <c r="E11" s="331" t="n">
        <v>0.07837508449011663</v>
      </c>
      <c r="F11" s="331" t="n">
        <v>0.008105630720409257</v>
      </c>
      <c r="G11" s="331" t="n">
        <v>0.07997246068874428</v>
      </c>
      <c r="H11" s="331" t="n">
        <v>0.002501080115643388</v>
      </c>
    </row>
    <row r="12">
      <c r="A12" s="329" t="inlineStr">
        <is>
          <t>Monte Carlo Mean Upside / Downside</t>
        </is>
      </c>
      <c r="B12" s="330" t="n">
        <v>-0.06982278173902567</v>
      </c>
      <c r="D12" s="329" t="inlineStr">
        <is>
          <t>da_pct</t>
        </is>
      </c>
      <c r="E12" s="331" t="n">
        <v>0.0368735118928365</v>
      </c>
      <c r="F12" s="331" t="n">
        <v>0.005338499929579937</v>
      </c>
      <c r="G12" s="331" t="n">
        <v>0.03785294213601485</v>
      </c>
      <c r="H12" s="331" t="n">
        <v>0.001364992839546039</v>
      </c>
    </row>
    <row r="13">
      <c r="A13" s="329" t="inlineStr">
        <is>
          <t>Std Dev</t>
        </is>
      </c>
      <c r="B13" s="330" t="n">
        <v>38.23512365375316</v>
      </c>
      <c r="D13" s="329" t="inlineStr">
        <is>
          <t>rd_pct</t>
        </is>
      </c>
      <c r="E13" s="331" t="n">
        <v>0.03470817851892324</v>
      </c>
      <c r="F13" s="331" t="n">
        <v>0.004622974059147572</v>
      </c>
      <c r="G13" s="331" t="n">
        <v>0.03554501798441228</v>
      </c>
      <c r="H13" s="331" t="n">
        <v>0.001375009244036819</v>
      </c>
    </row>
    <row r="14">
      <c r="A14" s="329" t="inlineStr">
        <is>
          <t>Probability Price &gt; Current</t>
        </is>
      </c>
      <c r="B14" s="330" t="n">
        <v>0.3196172593320039</v>
      </c>
      <c r="D14" s="329" t="inlineStr">
        <is>
          <t>tax_rate</t>
        </is>
      </c>
      <c r="E14" s="331" t="n">
        <v>0.0003426824089212544</v>
      </c>
      <c r="F14" s="331" t="n">
        <v>0.000550751915990663</v>
      </c>
      <c r="G14" s="331" t="n">
        <v>0.0003598681887407621</v>
      </c>
      <c r="H14" s="331" t="n">
        <v>1.24492870787522e-05</v>
      </c>
    </row>
    <row r="15">
      <c r="A15" s="329" t="inlineStr">
        <is>
          <t>Current Price Percentile Rank</t>
        </is>
      </c>
      <c r="B15" s="330" t="n">
        <v>0.6803827406679961</v>
      </c>
      <c r="D15" s="329" t="inlineStr">
        <is>
          <t>capex</t>
        </is>
      </c>
      <c r="E15" s="331" t="n">
        <v>8.180760908953191e-05</v>
      </c>
      <c r="F15" s="331" t="n">
        <v>0.0002683773099064095</v>
      </c>
      <c r="G15" s="331" t="n">
        <v>8.252146459654656e-05</v>
      </c>
      <c r="H15" s="331" t="n">
        <v>2.535859340215522e-06</v>
      </c>
    </row>
    <row r="16">
      <c r="A16" s="329" t="inlineStr">
        <is>
          <t>Iterations</t>
        </is>
      </c>
      <c r="B16" s="332" t="n">
        <v>1000000</v>
      </c>
      <c r="D16" s="329" t="inlineStr">
        <is>
          <t>nwc</t>
        </is>
      </c>
      <c r="E16" s="331" t="n">
        <v>4.084807280669942e-06</v>
      </c>
      <c r="F16" s="331" t="n">
        <v>6.001148302556984e-05</v>
      </c>
      <c r="G16" s="331" t="n">
        <v>3.487602072134863e-06</v>
      </c>
      <c r="H16" s="331" t="n">
        <v>1.115567407136456e-07</v>
      </c>
    </row>
    <row r="17">
      <c r="A17" s="329" t="inlineStr">
        <is>
          <t>Valid Draws</t>
        </is>
      </c>
      <c r="B17" s="332" t="n">
        <v>999946</v>
      </c>
      <c r="D17" s="329" t="inlineStr">
        <is>
          <t>terminal_g</t>
        </is>
      </c>
      <c r="E17" s="331" t="n">
        <v>0</v>
      </c>
      <c r="F17" s="331" t="n">
        <v>0</v>
      </c>
      <c r="G17" s="331" t="n">
        <v>0</v>
      </c>
      <c r="H17" s="331" t="n">
        <v>0</v>
      </c>
    </row>
    <row r="18">
      <c r="A18" s="329" t="inlineStr">
        <is>
          <t>Sobol Samples</t>
        </is>
      </c>
      <c r="B18" s="332" t="n">
        <v>8192</v>
      </c>
    </row>
    <row r="19">
      <c r="A19" s="329" t="inlineStr">
        <is>
          <t>Runtime (s)</t>
        </is>
      </c>
      <c r="B19" s="329" t="n">
        <v>1.544</v>
      </c>
    </row>
    <row r="20">
      <c r="A20" s="329" t="n"/>
      <c r="B20" s="329" t="n"/>
      <c r="D20" s="327" t="inlineStr">
        <is>
          <t>Tornado Sensitivity ($/share)</t>
        </is>
      </c>
    </row>
    <row r="21">
      <c r="A21" s="333" t="inlineStr">
        <is>
          <t>Distribution Percentiles</t>
        </is>
      </c>
      <c r="B21" s="329" t="n"/>
      <c r="D21" s="328" t="inlineStr">
        <is>
          <t>Label</t>
        </is>
      </c>
      <c r="E21" s="328" t="inlineStr">
        <is>
          <t>Shock Used</t>
        </is>
      </c>
      <c r="F21" s="328" t="inlineStr">
        <is>
          <t>Bear Delta</t>
        </is>
      </c>
      <c r="G21" s="328" t="inlineStr">
        <is>
          <t>Bull Delta</t>
        </is>
      </c>
      <c r="H21" s="328" t="inlineStr">
        <is>
          <t>Bear Price</t>
        </is>
      </c>
      <c r="I21" s="328" t="inlineStr">
        <is>
          <t>Bull Price</t>
        </is>
      </c>
    </row>
    <row r="22">
      <c r="A22" s="328" t="inlineStr">
        <is>
          <t>Metric</t>
        </is>
      </c>
      <c r="B22" s="328" t="inlineStr">
        <is>
          <t>Value</t>
        </is>
      </c>
      <c r="D22" s="329" t="inlineStr">
        <is>
          <t>COGS %</t>
        </is>
      </c>
      <c r="E22" s="329" t="inlineStr">
        <is>
          <t>+/-2.0 pts</t>
        </is>
      </c>
      <c r="F22" s="330" t="n">
        <v>-13.27443450668727</v>
      </c>
      <c r="G22" s="330" t="n">
        <v>13.27443450668719</v>
      </c>
      <c r="H22" s="330" t="n">
        <v>223.0413092823334</v>
      </c>
      <c r="I22" s="330" t="n">
        <v>249.5901782957079</v>
      </c>
    </row>
    <row r="23">
      <c r="A23" s="329" t="inlineStr">
        <is>
          <t>5th Percentile</t>
        </is>
      </c>
      <c r="B23" s="330" t="n">
        <v>173.8525518086428</v>
      </c>
      <c r="D23" s="329" t="inlineStr">
        <is>
          <t>WACC</t>
        </is>
      </c>
      <c r="E23" s="329" t="inlineStr">
        <is>
          <t>+/-100 bps</t>
        </is>
      </c>
      <c r="F23" s="330" t="n">
        <v>-8.819132307607958</v>
      </c>
      <c r="G23" s="330" t="n">
        <v>9.267301436856087</v>
      </c>
      <c r="H23" s="330" t="n">
        <v>227.4966114814127</v>
      </c>
      <c r="I23" s="330" t="n">
        <v>245.5830452258768</v>
      </c>
    </row>
    <row r="24">
      <c r="A24" s="329" t="inlineStr">
        <is>
          <t>25th Percentile</t>
        </is>
      </c>
      <c r="B24" s="330" t="n">
        <v>208.0989192009816</v>
      </c>
      <c r="D24" s="329" t="inlineStr">
        <is>
          <t>Exit Multiple</t>
        </is>
      </c>
      <c r="E24" s="329" t="inlineStr">
        <is>
          <t>+/-1.0x</t>
        </is>
      </c>
      <c r="F24" s="330" t="n">
        <v>-9.037230835955796</v>
      </c>
      <c r="G24" s="330" t="n">
        <v>9.037230835955825</v>
      </c>
      <c r="H24" s="330" t="n">
        <v>227.2785129530649</v>
      </c>
      <c r="I24" s="330" t="n">
        <v>245.3529746249765</v>
      </c>
    </row>
    <row r="25">
      <c r="A25" s="329" t="inlineStr">
        <is>
          <t>50th Percentile</t>
        </is>
      </c>
      <c r="B25" s="330" t="n">
        <v>234.0183326045165</v>
      </c>
      <c r="D25" s="329" t="inlineStr">
        <is>
          <t>D&amp;A %</t>
        </is>
      </c>
      <c r="E25" s="329" t="inlineStr">
        <is>
          <t>+/-1.0 pt</t>
        </is>
      </c>
      <c r="F25" s="330" t="n">
        <v>-6.849741264790566</v>
      </c>
      <c r="G25" s="330" t="n">
        <v>6.849741264790595</v>
      </c>
      <c r="H25" s="330" t="n">
        <v>229.4660025242301</v>
      </c>
      <c r="I25" s="330" t="n">
        <v>243.1654850538113</v>
      </c>
    </row>
    <row r="26">
      <c r="A26" s="329" t="inlineStr">
        <is>
          <t>75th Percentile</t>
        </is>
      </c>
      <c r="B26" s="330" t="n">
        <v>260.8457141713747</v>
      </c>
      <c r="D26" s="329" t="inlineStr">
        <is>
          <t>R&amp;D %</t>
        </is>
      </c>
      <c r="E26" s="329" t="inlineStr">
        <is>
          <t>+/-1.0 pt</t>
        </is>
      </c>
      <c r="F26" s="330" t="n">
        <v>-6.637217253343579</v>
      </c>
      <c r="G26" s="330" t="n">
        <v>6.637217253343579</v>
      </c>
      <c r="H26" s="330" t="n">
        <v>229.6785265356771</v>
      </c>
      <c r="I26" s="330" t="n">
        <v>242.9529610423643</v>
      </c>
    </row>
    <row r="27">
      <c r="A27" s="329" t="inlineStr">
        <is>
          <t>95th Percentile</t>
        </is>
      </c>
      <c r="B27" s="330" t="n">
        <v>299.4108227219029</v>
      </c>
      <c r="D27" s="329" t="inlineStr">
        <is>
          <t>SG&amp;A %</t>
        </is>
      </c>
      <c r="E27" s="329" t="inlineStr">
        <is>
          <t>+/-1.0 pt</t>
        </is>
      </c>
      <c r="F27" s="330" t="n">
        <v>-6.637217253343579</v>
      </c>
      <c r="G27" s="330" t="n">
        <v>6.637217253343579</v>
      </c>
      <c r="H27" s="330" t="n">
        <v>229.6785265356771</v>
      </c>
      <c r="I27" s="330" t="n">
        <v>242.9529610423643</v>
      </c>
    </row>
    <row r="28">
      <c r="D28" s="329" t="inlineStr">
        <is>
          <t>Revenue</t>
        </is>
      </c>
      <c r="E28" s="329" t="inlineStr">
        <is>
          <t>+/-2.0%</t>
        </is>
      </c>
      <c r="F28" s="330" t="n">
        <v>-4.791810778858974</v>
      </c>
      <c r="G28" s="330" t="n">
        <v>4.791810778858945</v>
      </c>
      <c r="H28" s="330" t="n">
        <v>231.5239330101617</v>
      </c>
      <c r="I28" s="330" t="n">
        <v>241.1075545678796</v>
      </c>
    </row>
    <row r="29">
      <c r="D29" s="329" t="inlineStr">
        <is>
          <t>CapEx Intensity</t>
        </is>
      </c>
      <c r="E29" s="329" t="inlineStr">
        <is>
          <t>+/-1.0 pt</t>
        </is>
      </c>
      <c r="F29" s="330" t="n">
        <v>-1.328275071543715</v>
      </c>
      <c r="G29" s="330" t="n">
        <v>1.328275071543686</v>
      </c>
      <c r="H29" s="330" t="n">
        <v>234.987468717477</v>
      </c>
      <c r="I29" s="330" t="n">
        <v>237.6440188605644</v>
      </c>
    </row>
    <row r="30">
      <c r="D30" s="329" t="inlineStr">
        <is>
          <t>Tax Rate</t>
        </is>
      </c>
      <c r="E30" s="329" t="inlineStr">
        <is>
          <t>+/-1.0 pt</t>
        </is>
      </c>
      <c r="F30" s="330" t="n">
        <v>-0.4410986946618891</v>
      </c>
      <c r="G30" s="330" t="n">
        <v>0.4410986946618891</v>
      </c>
      <c r="H30" s="330" t="n">
        <v>235.8746450943588</v>
      </c>
      <c r="I30" s="330" t="n">
        <v>236.7568424836826</v>
      </c>
    </row>
    <row r="31">
      <c r="D31" s="329" t="inlineStr">
        <is>
          <t>Change in NWC</t>
        </is>
      </c>
      <c r="E31" s="329" t="inlineStr">
        <is>
          <t>+/-10.0%</t>
        </is>
      </c>
      <c r="F31" s="330" t="n">
        <v>-0.06551908962512698</v>
      </c>
      <c r="G31" s="330" t="n">
        <v>0.06551908962509856</v>
      </c>
      <c r="H31" s="330" t="n">
        <v>236.2502246993956</v>
      </c>
      <c r="I31" s="330" t="n">
        <v>236.3812628786458</v>
      </c>
    </row>
    <row r="32">
      <c r="D32" s="329" t="inlineStr">
        <is>
          <t>Terminal Growth</t>
        </is>
      </c>
      <c r="E32" s="329" t="inlineStr">
        <is>
          <t>+/-50 bps</t>
        </is>
      </c>
      <c r="F32" s="330" t="n">
        <v>0</v>
      </c>
      <c r="G32" s="330" t="n">
        <v>0</v>
      </c>
      <c r="H32" s="330" t="n">
        <v>236.3157437890207</v>
      </c>
      <c r="I32" s="330" t="n">
        <v>236.3157437890207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2026-03-16T16:20:43Z</dcterms:created>
  <dcterms:modified xmlns:dcterms="http://purl.org/dc/terms/" xmlns:xsi="http://www.w3.org/2001/XMLSchema-instance" xsi:type="dcterms:W3CDTF">2026-03-17T15:34:42Z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0x0101006D2713B5F5666A49B5864A3782B837AA</vt:lpwstr>
  </property>
</Properties>
</file>